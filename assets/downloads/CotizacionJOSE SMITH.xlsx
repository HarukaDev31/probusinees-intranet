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<sst xmlns="http://schemas.openxmlformats.org/spreadsheetml/2006/main" uniqueCount="122">
  <si>
    <t>PRO MUNDO COMEX S.A.C.</t>
  </si>
  <si>
    <t xml:space="preserve">         RUC: 20612452432</t>
  </si>
  <si>
    <t>COTIZACION N002</t>
  </si>
  <si>
    <t>NOMBRE:</t>
  </si>
  <si>
    <t>JOSE SMITH</t>
  </si>
  <si>
    <t>SERVICIO:</t>
  </si>
  <si>
    <t>CARGA CONSOLIDADA</t>
  </si>
  <si>
    <t>N° CAJAS:</t>
  </si>
  <si>
    <t>APELLIDO:</t>
  </si>
  <si>
    <t>FECHA:</t>
  </si>
  <si>
    <t>13/02/2025</t>
  </si>
  <si>
    <t>PESO:</t>
  </si>
  <si>
    <t>DNI/RUC:</t>
  </si>
  <si>
    <t>ORIGEN:</t>
  </si>
  <si>
    <t>CHINA</t>
  </si>
  <si>
    <t>MEDIDA:</t>
  </si>
  <si>
    <t>TELEFONO:</t>
  </si>
  <si>
    <t>960 974 024</t>
  </si>
  <si>
    <t>CLIENTE:</t>
  </si>
  <si>
    <t>ANTIGUO</t>
  </si>
  <si>
    <t>VOLUMEN: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</si>
  <si>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</si>
  <si>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</si>
  <si>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</si>
  <si>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</si>
  <si>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</si>
  <si>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</si>
  <si>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</si>
  <si>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</si>
  <si>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</si>
  <si>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</si>
  <si>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</si>
  <si>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</si>
  <si>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</si>
  <si>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</si>
  <si>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</si>
  <si>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</si>
  <si>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</si>
  <si>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</si>
  <si>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</si>
  <si>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</si>
  <si>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</si>
  <si>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</si>
  <si>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</si>
  <si>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</si>
  <si>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</si>
  <si>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</si>
  <si>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</si>
  <si>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</si>
  <si>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Peru</t>
  </si>
  <si>
    <t>Nihao</t>
  </si>
  <si>
    <t>NOTAS: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</si>
  <si>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Las fechas brindadas son estimadas, estan sujetas a variación.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</si>
  <si>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</si>
  <si>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</si>
  <si>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</si>
  <si>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</si>
  <si>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</si>
  <si>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</si>
  <si>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</si>
  <si>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</si>
  <si>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</si>
  <si>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</si>
  <si>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</si>
  <si>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</si>
  <si>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</si>
  <si>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</si>
  <si>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</si>
  <si>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</si>
  <si>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</si>
  <si>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</si>
  <si>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</si>
  <si>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</si>
  <si>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</si>
  <si>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</si>
  <si>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</si>
  <si>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</si>
  <si>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</si>
  <si>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</si>
  <si>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</si>
  <si>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</si>
  <si>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</si>
  <si>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</si>
  <si>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</si>
  <si>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</si>
  <si>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</si>
  <si>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</si>
  <si>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</si>
  <si>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N.Proveedor</t>
  </si>
  <si>
    <t>fdgfdsg</t>
  </si>
  <si>
    <t>miguel</t>
  </si>
  <si>
    <t>N° Cajas</t>
  </si>
  <si>
    <t>Peso(KG)</t>
  </si>
  <si>
    <t>Medida</t>
  </si>
  <si>
    <t>VOL. X PROVEEDOR</t>
  </si>
  <si>
    <t>Nombres</t>
  </si>
  <si>
    <t>Cantidad Cajones</t>
  </si>
  <si>
    <t>Peso</t>
  </si>
  <si>
    <t>TOTAL CBM</t>
  </si>
  <si>
    <t>Valor Unitario</t>
  </si>
  <si>
    <t>Valoracion</t>
  </si>
  <si>
    <t>Cantidad</t>
  </si>
  <si>
    <t>Valor FOB</t>
  </si>
  <si>
    <t>Distribucion %</t>
  </si>
  <si>
    <t>Flete</t>
  </si>
  <si>
    <t>Valor CFR</t>
  </si>
  <si>
    <t>Seguro</t>
  </si>
  <si>
    <t>Valor CIF</t>
  </si>
  <si>
    <t>Tributos Aplicables</t>
  </si>
  <si>
    <t>ANTIDUMPING</t>
  </si>
  <si>
    <t>=</t>
  </si>
  <si>
    <t>AD VALOREM</t>
  </si>
  <si>
    <t>IGB 16%</t>
  </si>
  <si>
    <t>IPM 2%</t>
  </si>
  <si>
    <t>PERCEPCION</t>
  </si>
  <si>
    <t>TC</t>
  </si>
  <si>
    <t>COSTOS DESTINOS</t>
  </si>
  <si>
    <t>ITEM</t>
  </si>
  <si>
    <t>COSTO TOTAL DE IMPORTACIÓN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</si>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</sst>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$-409]* #,##0.0_ ;_-[$$-409]* \-#,##0.0\ ;_-[$$-409]* &quot;-&quot;??_ ;_-@_ "/>
    <numFmt numFmtId="168" formatCode="_-[$S/-280A]\ * #,##0.00_-;\-[$S/-280A]\ * #,##0.00_-;_-[$S/-280A]\ * &quot;-&quot;??_-;_-@_-"/>
    <numFmt numFmtId="169" formatCode="0.0\ &quot;kg&quot;"/>
    <numFmt numFmtId="170" formatCode="0.0\ &quot;cm&quot;"/>
    <numFmt numFmtId="171" formatCode="#,##0.000\ &quot;m3&quot;"/>
    <numFmt numFmtId="172" formatCode="&quot;$&quot;#,##0.00_-"/>
    <numFmt numFmtId="173" formatCode="&quot;S/.&quot; #,##0.00_-"/>
  </numFmts>
  <fonts count="18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1"/>
      <i val="0"/>
      <strike val="0"/>
      <u val="single"/>
      <sz val="14"/>
      <color rgb="FF000000"/>
      <name val="Calibri Light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1"/>
      <i val="0"/>
      <strike val="0"/>
      <u val="none"/>
      <sz val="11"/>
      <color rgb="FFFFFFFF"/>
      <name val="Calibri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FF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1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0">
      <alignment horizontal="general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7" numFmtId="0" fillId="6" borderId="0" applyFont="1" applyNumberFormat="0" applyFill="1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0">
      <alignment horizontal="general" vertical="bottom" textRotation="0" wrapText="false" shrinkToFit="false"/>
    </xf>
    <xf xfId="0" fontId="6" numFmtId="167" fillId="3" borderId="0" applyFont="1" applyNumberFormat="1" applyFill="1" applyBorder="0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1">
      <alignment horizontal="center" vertical="bottom" textRotation="0" wrapText="false" shrinkToFit="false"/>
    </xf>
    <xf xfId="0" fontId="2" numFmtId="166" fillId="3" borderId="8" applyFont="1" applyNumberFormat="1" applyFill="1" applyBorder="1" applyAlignment="1">
      <alignment horizontal="center" vertical="bottom" textRotation="0" wrapText="false" shrinkToFit="false"/>
    </xf>
    <xf xfId="0" fontId="1" numFmtId="168" fillId="3" borderId="0" applyFont="1" applyNumberFormat="1" applyFill="1" applyBorder="0" applyAlignment="1">
      <alignment horizontal="right" vertical="bottom" textRotation="0" wrapText="false" shrinkToFit="false"/>
    </xf>
    <xf xfId="0" fontId="6" numFmtId="168" fillId="3" borderId="0" applyFont="1" applyNumberFormat="1" applyFill="1" applyBorder="0" applyAlignment="1">
      <alignment horizontal="left" vertical="bottom" textRotation="0" wrapText="false" shrinkToFit="false"/>
    </xf>
    <xf xfId="0" fontId="2" numFmtId="168" fillId="3" borderId="0" applyFont="1" applyNumberFormat="1" applyFill="1" applyBorder="0" applyAlignment="0">
      <alignment horizontal="general" vertical="bottom" textRotation="0" wrapText="false" shrinkToFit="false"/>
    </xf>
    <xf xfId="0" fontId="0" numFmtId="168" fillId="3" borderId="0" applyFont="0" applyNumberFormat="1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9" applyFont="1" applyNumberFormat="0" applyFill="1" applyBorder="1" applyAlignment="0">
      <alignment horizontal="general" vertical="bottom" textRotation="0" wrapText="false" shrinkToFit="false"/>
    </xf>
    <xf xfId="0" fontId="7" numFmtId="0" fillId="3" borderId="9" applyFont="1" applyNumberFormat="0" applyFill="1" applyBorder="1" applyAlignment="1">
      <alignment horizontal="general" vertical="center" textRotation="0" wrapText="false" shrinkToFit="false"/>
    </xf>
    <xf xfId="0" fontId="9" numFmtId="0" fillId="3" borderId="0" applyFont="1" applyNumberFormat="0" applyFill="1" applyBorder="0" applyAlignment="0">
      <alignment horizontal="general" vertical="bottom" textRotation="0" wrapText="false" shrinkToFit="false"/>
    </xf>
    <xf xfId="0" fontId="10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9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9" applyFont="0" applyNumberFormat="0" applyFill="1" applyBorder="1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0">
      <alignment horizontal="general" vertical="bottom" textRotation="0" wrapText="false" shrinkToFit="false"/>
    </xf>
    <xf xfId="0" fontId="2" numFmtId="0" fillId="3" borderId="10" applyFont="1" applyNumberFormat="0" applyFill="1" applyBorder="1" applyAlignment="0">
      <alignment horizontal="general" vertical="bottom" textRotation="0" wrapText="false" shrinkToFit="false"/>
    </xf>
    <xf xfId="0" fontId="7" numFmtId="168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8" applyFont="1" applyNumberFormat="0" applyFill="1" applyBorder="1" applyAlignment="0">
      <alignment horizontal="general" vertical="bottom" textRotation="0" wrapText="false" shrinkToFit="false"/>
    </xf>
    <xf xfId="0" fontId="11" numFmtId="0" fillId="6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center" vertical="bottom" textRotation="0" wrapText="false" shrinkToFit="false"/>
    </xf>
    <xf xfId="0" fontId="10" numFmtId="0" fillId="3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7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1">
      <alignment horizontal="center" vertical="bottom" textRotation="0" wrapText="false" shrinkToFit="false"/>
    </xf>
    <xf xfId="0" fontId="0" numFmtId="164" fillId="3" borderId="11" applyFont="0" applyNumberFormat="1" applyFill="1" applyBorder="1" applyAlignment="1">
      <alignment horizontal="center" vertical="bottom" textRotation="0" wrapText="false" shrinkToFit="false"/>
    </xf>
    <xf xfId="0" fontId="13" numFmtId="0" fillId="4" borderId="7" applyFont="1" applyNumberFormat="0" applyFill="1" applyBorder="1" applyAlignment="1">
      <alignment horizontal="center" vertical="bottom" textRotation="0" wrapText="false" shrinkToFit="false"/>
    </xf>
    <xf xfId="0" fontId="13" numFmtId="0" fillId="4" borderId="6" applyFont="1" applyNumberFormat="0" applyFill="1" applyBorder="1" applyAlignment="1">
      <alignment horizontal="center" vertical="bottom" textRotation="0" wrapText="false" shrinkToFit="false"/>
    </xf>
    <xf xfId="0" fontId="13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14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5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5" numFmtId="0" fillId="4" borderId="0" applyFont="1" applyNumberFormat="0" applyFill="1" applyBorder="0" applyAlignment="1">
      <alignment horizontal="left" vertical="bottom" textRotation="0" wrapText="false" shrinkToFit="false"/>
    </xf>
    <xf xfId="0" fontId="16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7" numFmtId="168" fillId="4" borderId="7" applyFont="1" applyNumberFormat="1" applyFill="1" applyBorder="1" applyAlignment="1">
      <alignment horizontal="center" vertical="bottom" textRotation="0" wrapText="false" shrinkToFit="false"/>
    </xf>
    <xf xfId="0" fontId="7" numFmtId="168" fillId="4" borderId="11" applyFont="1" applyNumberFormat="1" applyFill="1" applyBorder="1" applyAlignment="1">
      <alignment horizontal="center" vertical="bottom" textRotation="0" wrapText="false" shrinkToFit="false"/>
    </xf>
    <xf xfId="0" fontId="2" numFmtId="171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7" numFmtId="0" fillId="9" borderId="0" applyFont="1" applyNumberFormat="0" applyFill="1" applyBorder="0" applyAlignment="1">
      <alignment horizontal="center" vertical="bottom" textRotation="0" wrapText="false" shrinkToFit="false"/>
    </xf>
    <xf xfId="0" fontId="0" numFmtId="0" fillId="10" borderId="0" applyFont="0" applyNumberFormat="0" applyFill="1" applyBorder="0" applyAlignment="0">
      <alignment horizontal="general" vertical="bottom" textRotation="0" wrapText="false" shrinkToFit="false"/>
    </xf>
    <xf xfId="0" fontId="0" numFmtId="10" fillId="2" borderId="0" applyFont="0" applyNumberFormat="1" applyFill="0" applyBorder="0" applyAlignment="0">
      <alignment horizontal="general" vertical="bottom" textRotation="0" wrapText="false" shrinkToFit="false"/>
    </xf>
    <xf xfId="0" fontId="1" numFmtId="172" fillId="3" borderId="1" applyFont="1" applyNumberFormat="1" applyFill="1" applyBorder="1" applyAlignment="1">
      <alignment horizontal="center" vertical="bottom" textRotation="0" wrapText="false" shrinkToFit="false"/>
    </xf>
    <xf xfId="0" fontId="17" numFmtId="173" fillId="11" borderId="1" applyFont="1" applyNumberFormat="1" applyFill="1" applyBorder="1" applyAlignment="1">
      <alignment horizontal="center" vertical="bottom" textRotation="0" wrapText="false" shrinkToFit="false"/>
    </xf>
    <xf xfId="0" fontId="1" numFmtId="168" fillId="12" borderId="0" applyFont="1" applyNumberFormat="1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8.png"/><Relationship Id="rId2" Type="http://schemas.openxmlformats.org/officeDocument/2006/relationships/image" Target="../media/image19.png"/><Relationship Id="rId3" Type="http://schemas.openxmlformats.org/officeDocument/2006/relationships/image" Target="../media/image210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M100"/>
  <sheetViews>
    <sheetView tabSelected="1" workbookViewId="0" zoomScale="85" zoomScaleNormal="85" showGridLines="false" showRowColHeaders="1">
      <selection activeCell="K39" sqref="K39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9.77734375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3" customHeight="1" ht="18">
      <c r="A1" s="51"/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</row>
    <row r="2" spans="1:13" customHeight="1" ht="18">
      <c r="B2" s="46"/>
      <c r="C2" s="46"/>
      <c r="E2" s="51"/>
      <c r="F2" s="51"/>
      <c r="G2" s="51"/>
      <c r="H2" s="51"/>
      <c r="I2" s="51"/>
      <c r="J2" s="51"/>
      <c r="K2" s="51"/>
      <c r="L2" s="51"/>
    </row>
    <row r="3" spans="1:13" customHeight="1" ht="25.8">
      <c r="B3" s="46"/>
      <c r="C3" s="46"/>
      <c r="E3" s="62" t="s">
        <v>0</v>
      </c>
      <c r="F3" s="62"/>
      <c r="G3" s="62"/>
      <c r="H3" s="62"/>
      <c r="I3" s="62"/>
      <c r="J3" s="62"/>
    </row>
    <row r="4" spans="1:13" customHeight="1" ht="25.8">
      <c r="B4" s="46"/>
      <c r="C4" s="46"/>
      <c r="E4" s="63" t="s">
        <v>1</v>
      </c>
      <c r="F4" s="63"/>
      <c r="G4" s="63"/>
      <c r="H4" s="63"/>
      <c r="I4" s="63"/>
      <c r="J4" s="63"/>
      <c r="K4" s="13"/>
    </row>
    <row r="5" spans="1:13">
      <c r="B5" s="46"/>
      <c r="C5" s="46"/>
      <c r="D5" s="44"/>
    </row>
    <row r="6" spans="1:13">
      <c r="B6" s="46"/>
      <c r="C6" s="46"/>
      <c r="D6" s="27"/>
      <c r="F6" s="27"/>
      <c r="G6" s="27"/>
      <c r="H6" s="27"/>
    </row>
    <row r="7" spans="1:13">
      <c r="A7" s="46"/>
      <c r="B7" s="46"/>
      <c r="C7" s="46"/>
      <c r="E7" s="48" t="s">
        <v>2</v>
      </c>
      <c r="F7" s="48"/>
      <c r="G7" s="48"/>
      <c r="I7" s="46"/>
      <c r="J7" s="46"/>
      <c r="K7" s="46"/>
      <c r="L7" s="46"/>
    </row>
    <row r="8" spans="1:13">
      <c r="B8" s="8" t="s">
        <v>3</v>
      </c>
      <c r="C8" s="17" t="s">
        <v>4</v>
      </c>
      <c r="D8" s="42"/>
      <c r="E8" s="24" t="s">
        <v>5</v>
      </c>
      <c r="F8" s="53" t="s">
        <v>6</v>
      </c>
      <c r="G8" s="54"/>
      <c r="H8" s="41"/>
      <c r="I8" s="1" t="s">
        <v>7</v>
      </c>
      <c r="J8" s="72">
        <v>11</v>
      </c>
      <c r="K8" s="72"/>
      <c r="L8" s="72"/>
    </row>
    <row r="9" spans="1:13">
      <c r="B9" s="8" t="s">
        <v>8</v>
      </c>
      <c r="C9" s="17"/>
      <c r="D9" s="42"/>
      <c r="E9" s="25" t="s">
        <v>9</v>
      </c>
      <c r="F9" s="49" t="s">
        <v>10</v>
      </c>
      <c r="G9" s="50"/>
      <c r="H9" s="41"/>
      <c r="I9" s="1" t="s">
        <v>11</v>
      </c>
      <c r="J9" s="47">
        <v>314.9</v>
      </c>
      <c r="K9" s="47"/>
      <c r="L9" s="47"/>
    </row>
    <row r="10" spans="1:13">
      <c r="B10" s="8" t="s">
        <v>12</v>
      </c>
      <c r="C10" s="17">
        <v>1234567</v>
      </c>
      <c r="D10" s="42"/>
      <c r="E10" s="30" t="s">
        <v>13</v>
      </c>
      <c r="F10" s="51" t="s">
        <v>14</v>
      </c>
      <c r="G10" s="52"/>
      <c r="H10" s="41"/>
      <c r="I10" s="1" t="s">
        <v>15</v>
      </c>
      <c r="J10" s="73">
        <v>0</v>
      </c>
      <c r="K10" s="73"/>
      <c r="L10" s="73"/>
    </row>
    <row r="11" spans="1:13">
      <c r="B11" s="8" t="s">
        <v>16</v>
      </c>
      <c r="C11" s="18" t="s">
        <v>17</v>
      </c>
      <c r="D11" s="43"/>
      <c r="E11" s="26" t="s">
        <v>18</v>
      </c>
      <c r="F11" s="56" t="s">
        <v>19</v>
      </c>
      <c r="G11" s="75"/>
      <c r="H11" s="41"/>
      <c r="I11" s="1" t="s">
        <v>20</v>
      </c>
      <c r="J11" s="85">
        <v>0</v>
      </c>
      <c r="K11" s="85"/>
      <c r="L11" s="85"/>
    </row>
    <row r="12" spans="1:13">
      <c r="B12" s="51"/>
      <c r="C12" s="51"/>
      <c r="D12" s="51"/>
      <c r="E12" s="51"/>
      <c r="F12" s="51"/>
      <c r="G12" s="51"/>
      <c r="H12" s="51"/>
      <c r="I12" s="51"/>
      <c r="J12" s="51"/>
      <c r="K12" s="51"/>
      <c r="L12" s="51"/>
    </row>
    <row r="13" spans="1:13">
      <c r="B13" s="76" t="s">
        <v>21</v>
      </c>
      <c r="C13" s="76"/>
      <c r="D13" s="76"/>
      <c r="E13" s="76"/>
      <c r="F13" s="76"/>
      <c r="G13" s="76"/>
      <c r="H13" s="76"/>
      <c r="I13" s="76"/>
      <c r="J13" s="76"/>
      <c r="K13" s="10" t="s">
        <v>22</v>
      </c>
      <c r="L13" s="10" t="s">
        <v>23</v>
      </c>
    </row>
    <row r="14" spans="1:13">
      <c r="B14" s="77" t="s">
        <v>24</v>
      </c>
      <c r="C14" s="77"/>
      <c r="D14" s="77"/>
      <c r="E14" s="77"/>
      <c r="F14" s="77"/>
      <c r="G14" s="77"/>
      <c r="H14" s="77"/>
      <c r="I14" s="77"/>
      <c r="J14" s="77"/>
      <c r="K14" s="15" t="str">
        <f>'2'!E18</f>
        <v>0</v>
      </c>
      <c r="L14" s="9" t="s">
        <v>25</v>
      </c>
    </row>
    <row r="15" spans="1:13">
      <c r="B15" s="78" t="s">
        <v>26</v>
      </c>
      <c r="C15" s="78"/>
      <c r="D15" s="78"/>
      <c r="E15" s="78"/>
      <c r="F15" s="78"/>
      <c r="G15" s="78"/>
      <c r="H15" s="78"/>
      <c r="I15" s="78"/>
      <c r="J15" s="78"/>
      <c r="K15" s="16" t="str">
        <f>'2'!E20 + '2'!E22</f>
        <v>0</v>
      </c>
      <c r="L15" s="12" t="s">
        <v>25</v>
      </c>
    </row>
    <row r="16" spans="1:13">
      <c r="B16" s="59" t="s">
        <v>27</v>
      </c>
      <c r="C16" s="59"/>
      <c r="D16" s="59"/>
      <c r="E16" s="59"/>
      <c r="F16" s="59"/>
      <c r="G16" s="59"/>
      <c r="H16" s="59"/>
      <c r="I16" s="59"/>
      <c r="J16" s="59"/>
      <c r="K16" s="15" t="str">
        <f>SUM(K14:K15)</f>
        <v>0</v>
      </c>
      <c r="L16" s="9" t="s">
        <v>25</v>
      </c>
    </row>
    <row r="17" spans="1:13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3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3">
      <c r="B19" s="79" t="s">
        <v>28</v>
      </c>
      <c r="C19" s="79"/>
      <c r="D19" s="79"/>
      <c r="E19" s="79"/>
      <c r="F19" s="79"/>
      <c r="G19" s="19"/>
      <c r="H19" s="19"/>
      <c r="I19" s="19"/>
      <c r="J19" s="10" t="s">
        <v>29</v>
      </c>
      <c r="K19" s="10" t="s">
        <v>22</v>
      </c>
      <c r="L19" s="10" t="s">
        <v>23</v>
      </c>
    </row>
    <row r="20" spans="1:13">
      <c r="B20" s="57" t="s">
        <v>30</v>
      </c>
      <c r="C20" s="57"/>
      <c r="D20" s="57"/>
      <c r="E20" s="57"/>
      <c r="F20" s="57"/>
      <c r="G20" s="57"/>
      <c r="H20" s="57"/>
      <c r="I20" s="57"/>
      <c r="J20" s="21" t="str">
        <f>MAX('2'!C33:D33)</f>
        <v>0</v>
      </c>
      <c r="K20" s="15" t="str">
        <f>'2'!E34</f>
        <v>0</v>
      </c>
      <c r="L20" s="9" t="s">
        <v>25</v>
      </c>
    </row>
    <row r="21" spans="1:13">
      <c r="B21" s="57" t="s">
        <v>31</v>
      </c>
      <c r="C21" s="57"/>
      <c r="D21" s="57"/>
      <c r="E21" s="57"/>
      <c r="F21" s="57"/>
      <c r="G21" s="57"/>
      <c r="H21" s="57"/>
      <c r="I21" s="57"/>
      <c r="J21" s="21">
        <v>0.16</v>
      </c>
      <c r="K21" s="15" t="str">
        <f>'2'!E35</f>
        <v>0</v>
      </c>
      <c r="L21" s="9" t="s">
        <v>25</v>
      </c>
    </row>
    <row r="22" spans="1:13">
      <c r="B22" s="56" t="s">
        <v>32</v>
      </c>
      <c r="C22" s="56"/>
      <c r="D22" s="56"/>
      <c r="E22" s="56"/>
      <c r="F22" s="56"/>
      <c r="G22" s="56"/>
      <c r="H22" s="56"/>
      <c r="I22" s="56"/>
      <c r="J22" s="21">
        <v>0.02</v>
      </c>
      <c r="K22" s="15" t="str">
        <f>'2'!E36</f>
        <v>0</v>
      </c>
      <c r="L22" s="9" t="s">
        <v>25</v>
      </c>
    </row>
    <row r="23" spans="1:13">
      <c r="B23" s="59" t="s">
        <v>33</v>
      </c>
      <c r="C23" s="59"/>
      <c r="D23" s="59"/>
      <c r="E23" s="59"/>
      <c r="F23" s="59"/>
      <c r="G23" s="59"/>
      <c r="H23" s="59"/>
      <c r="I23" s="59"/>
      <c r="J23" s="34"/>
      <c r="K23" s="35" t="str">
        <f>SUM(K20:K22)</f>
        <v>0</v>
      </c>
      <c r="L23" s="34" t="s">
        <v>25</v>
      </c>
    </row>
    <row r="24" spans="1:13">
      <c r="B24" s="57"/>
      <c r="C24" s="57"/>
      <c r="D24" s="57"/>
      <c r="E24" s="57"/>
      <c r="F24" s="57"/>
      <c r="G24" s="57"/>
      <c r="H24" s="57"/>
      <c r="I24" s="57"/>
      <c r="J24" s="2"/>
      <c r="K24" s="11"/>
      <c r="L24" s="9"/>
    </row>
    <row r="25" spans="1:13">
      <c r="B25" s="56" t="s">
        <v>34</v>
      </c>
      <c r="C25" s="56"/>
      <c r="D25" s="56"/>
      <c r="E25" s="56"/>
      <c r="F25" s="56"/>
      <c r="G25" s="56"/>
      <c r="H25" s="56"/>
      <c r="I25" s="56"/>
      <c r="J25" s="22" t="s">
        <v>35</v>
      </c>
      <c r="K25" s="16" t="str">
        <f>'2'!E37</f>
        <v>0</v>
      </c>
      <c r="L25" s="12" t="s">
        <v>25</v>
      </c>
    </row>
    <row r="26" spans="1:13">
      <c r="B26" s="59" t="s">
        <v>36</v>
      </c>
      <c r="C26" s="59"/>
      <c r="D26" s="59"/>
      <c r="E26" s="59"/>
      <c r="F26" s="59"/>
      <c r="G26" s="59"/>
      <c r="H26" s="59"/>
      <c r="I26" s="59"/>
      <c r="K26" s="15" t="str">
        <f>K23+K25</f>
        <v>0</v>
      </c>
      <c r="L26" s="9" t="s">
        <v>25</v>
      </c>
    </row>
    <row r="27" spans="1:13">
      <c r="B27" s="51"/>
      <c r="C27" s="51"/>
      <c r="D27" s="51"/>
      <c r="E27" s="51"/>
      <c r="F27" s="51"/>
      <c r="G27" s="51"/>
      <c r="H27" s="51"/>
      <c r="I27" s="51"/>
    </row>
    <row r="28" spans="1:13" customHeight="1" ht="15.6">
      <c r="B28" s="60" t="s">
        <v>37</v>
      </c>
      <c r="C28" s="60"/>
      <c r="D28" s="60"/>
      <c r="E28" s="60"/>
      <c r="F28" s="60"/>
      <c r="G28" s="60"/>
      <c r="H28" s="60"/>
      <c r="I28" s="60"/>
      <c r="J28" s="60"/>
      <c r="K28" s="31" t="s">
        <v>22</v>
      </c>
      <c r="L28" s="31" t="s">
        <v>23</v>
      </c>
    </row>
    <row r="29" spans="1:13">
      <c r="B29" s="57" t="s">
        <v>38</v>
      </c>
      <c r="C29" s="57"/>
      <c r="D29" s="57"/>
      <c r="E29" s="57"/>
      <c r="F29" s="57"/>
      <c r="G29" s="57"/>
      <c r="H29" s="57"/>
      <c r="I29" s="57"/>
      <c r="J29" s="57"/>
      <c r="K29" s="15" t="str">
        <f>K14</f>
        <v>0</v>
      </c>
      <c r="L29" s="9" t="s">
        <v>25</v>
      </c>
    </row>
    <row r="30" spans="1:13">
      <c r="B30" s="57" t="s">
        <v>39</v>
      </c>
      <c r="C30" s="57"/>
      <c r="D30" s="57"/>
      <c r="E30" s="57"/>
      <c r="F30" s="57"/>
      <c r="G30" s="57"/>
      <c r="H30" s="57"/>
      <c r="I30" s="57"/>
      <c r="J30" s="57"/>
      <c r="K30" s="15" t="str">
        <f>'2'!E18+'2'!E45</f>
        <v>0</v>
      </c>
      <c r="L30" s="9" t="s">
        <v>25</v>
      </c>
    </row>
    <row r="31" spans="1:13">
      <c r="B31" s="56" t="s">
        <v>40</v>
      </c>
      <c r="C31" s="56"/>
      <c r="D31" s="56"/>
      <c r="E31" s="56"/>
      <c r="F31" s="56"/>
      <c r="G31" s="56"/>
      <c r="H31" s="56"/>
      <c r="I31" s="56"/>
      <c r="J31" s="56"/>
      <c r="K31" s="16" t="str">
        <f>K26</f>
        <v>0</v>
      </c>
      <c r="L31" s="12" t="s">
        <v>25</v>
      </c>
    </row>
    <row r="32" spans="1:13">
      <c r="B32" s="59" t="s">
        <v>41</v>
      </c>
      <c r="C32" s="59"/>
      <c r="D32" s="59"/>
      <c r="E32" s="59"/>
      <c r="F32" s="59"/>
      <c r="G32" s="59"/>
      <c r="H32" s="59"/>
      <c r="I32" s="59"/>
      <c r="J32" s="59"/>
      <c r="K32" s="15" t="str">
        <f>SUM(K29:K31)</f>
        <v>0</v>
      </c>
      <c r="L32" s="9" t="s">
        <v>25</v>
      </c>
    </row>
    <row r="33" spans="1:13"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</row>
    <row r="34" spans="1:13">
      <c r="B34" s="69" t="s">
        <v>42</v>
      </c>
      <c r="C34" s="70"/>
      <c r="D34" s="70"/>
      <c r="E34" s="70"/>
      <c r="F34" s="70"/>
      <c r="G34" s="70"/>
      <c r="H34" s="70"/>
      <c r="I34" s="70"/>
      <c r="J34" s="70"/>
      <c r="K34" s="70"/>
      <c r="L34" s="71"/>
    </row>
    <row r="35" spans="1:13">
      <c r="B35" s="20" t="s">
        <v>43</v>
      </c>
      <c r="C35" s="64" t="s">
        <v>44</v>
      </c>
      <c r="D35" s="65"/>
      <c r="E35" s="66"/>
      <c r="F35" s="4" t="s">
        <v>45</v>
      </c>
      <c r="G35" s="64" t="s">
        <v>46</v>
      </c>
      <c r="H35" s="66"/>
      <c r="I35" s="3" t="s">
        <v>47</v>
      </c>
      <c r="J35" s="28" t="s">
        <v>36</v>
      </c>
      <c r="K35" s="55" t="s">
        <v>48</v>
      </c>
      <c r="L35" s="55"/>
    </row>
    <row r="36" spans="1:13">
      <c r="B36" s="5">
        <v>1</v>
      </c>
      <c r="C36" s="5" t="s">
        <v>49</v>
      </c>
      <c r="D36" s="5"/>
      <c r="E36" s="5"/>
      <c r="F36" s="5" t="str">
        <f>'2'!C17</f>
        <v>0</v>
      </c>
      <c r="G36" s="91" t="str">
        <f>'2'!C15</f>
        <v>0</v>
      </c>
      <c r="H36" s="6"/>
      <c r="I36" s="91" t="str">
        <f>'2'!C53</f>
        <v>0</v>
      </c>
      <c r="J36" s="91" t="str">
        <f>'2'!C51</f>
        <v>0</v>
      </c>
      <c r="K36" s="92" t="str">
        <f>'2'!C54</f>
        <v>0</v>
      </c>
      <c r="L36" s="55"/>
      <c r="M36" s="1"/>
    </row>
    <row r="37" spans="1:13">
      <c r="B37" s="5">
        <v>2</v>
      </c>
      <c r="C37" s="5" t="s">
        <v>50</v>
      </c>
      <c r="D37" s="5"/>
      <c r="E37" s="5"/>
      <c r="F37" s="5" t="str">
        <f>'2'!D17</f>
        <v>0</v>
      </c>
      <c r="G37" s="91" t="str">
        <f>'2'!D15</f>
        <v>0</v>
      </c>
      <c r="H37" s="6"/>
      <c r="I37" s="91" t="str">
        <f>'2'!D53</f>
        <v>0</v>
      </c>
      <c r="J37" s="91" t="str">
        <f>'2'!D51</f>
        <v>0</v>
      </c>
      <c r="K37" s="92" t="str">
        <f>'2'!D54</f>
        <v>0</v>
      </c>
      <c r="L37" s="55"/>
      <c r="M37" s="1"/>
    </row>
    <row r="38" spans="1:13">
      <c r="B38" s="20"/>
      <c r="C38" s="64"/>
      <c r="D38" s="28"/>
      <c r="E38" s="66"/>
      <c r="F38" s="4"/>
      <c r="G38" s="67"/>
      <c r="H38" s="68"/>
      <c r="I38" s="29"/>
      <c r="J38" s="29"/>
      <c r="K38" s="83"/>
      <c r="L38" s="84"/>
      <c r="M38" s="1"/>
    </row>
    <row r="39" spans="1:13" customHeight="1" ht="15.6">
      <c r="B39" s="23"/>
      <c r="C39" s="2"/>
      <c r="D39" s="2"/>
      <c r="E39" s="2"/>
      <c r="F39" s="14"/>
      <c r="G39" s="2"/>
      <c r="H39" s="2"/>
      <c r="I39" s="1"/>
      <c r="J39" s="33"/>
      <c r="K39" s="93"/>
      <c r="L39" s="37"/>
      <c r="M39" s="1"/>
    </row>
    <row r="40" spans="1:13" customHeight="1" ht="15.6">
      <c r="B40" s="23"/>
      <c r="C40" s="2"/>
      <c r="D40" s="2"/>
      <c r="E40" s="2"/>
      <c r="F40" s="14"/>
      <c r="G40" s="2"/>
      <c r="H40" s="2"/>
      <c r="J40" s="33"/>
      <c r="K40" s="36"/>
      <c r="L40" s="37"/>
    </row>
    <row r="41" spans="1:13">
      <c r="B41" s="7"/>
      <c r="C41" s="7"/>
      <c r="D41" s="7"/>
      <c r="E41" s="7"/>
      <c r="F41" s="7"/>
      <c r="G41" s="7"/>
      <c r="H41" s="7"/>
      <c r="I41" s="7"/>
      <c r="J41" s="7"/>
      <c r="K41" s="38"/>
      <c r="L41" s="39"/>
    </row>
    <row r="42" spans="1:13" customHeight="1" ht="18">
      <c r="B42" s="32" t="s">
        <v>51</v>
      </c>
      <c r="C42" s="7"/>
      <c r="D42" s="7"/>
      <c r="E42" s="7"/>
      <c r="F42" s="7"/>
      <c r="G42" s="7"/>
      <c r="H42" s="7"/>
      <c r="I42" s="7"/>
      <c r="J42" s="7"/>
      <c r="K42" s="7"/>
    </row>
    <row r="43" spans="1:13" customHeight="1" ht="18">
      <c r="B43" s="74" t="s">
        <v>52</v>
      </c>
      <c r="C43" s="74"/>
      <c r="D43" s="74"/>
      <c r="E43" s="74"/>
      <c r="F43" s="74"/>
      <c r="G43" s="74"/>
      <c r="H43" s="74"/>
      <c r="I43" s="74"/>
      <c r="J43" s="74"/>
      <c r="K43" s="74"/>
      <c r="L43" s="74"/>
    </row>
    <row r="44" spans="1:13" customHeight="1" ht="18">
      <c r="B44" s="74" t="s">
        <v>53</v>
      </c>
      <c r="C44" s="74"/>
      <c r="D44" s="74"/>
      <c r="E44" s="74"/>
      <c r="F44" s="74"/>
      <c r="G44" s="74"/>
      <c r="H44" s="74"/>
      <c r="I44" s="74"/>
      <c r="J44" s="74"/>
      <c r="K44" s="74"/>
      <c r="L44" s="74"/>
    </row>
    <row r="45" spans="1:13" customHeight="1" ht="18">
      <c r="B45" s="74" t="s">
        <v>54</v>
      </c>
      <c r="C45" s="74"/>
      <c r="D45" s="74"/>
      <c r="E45" s="74"/>
      <c r="F45" s="74"/>
      <c r="G45" s="74"/>
      <c r="H45" s="74"/>
      <c r="I45" s="74"/>
      <c r="J45" s="74"/>
      <c r="K45" s="74"/>
      <c r="L45" s="74"/>
    </row>
    <row r="46" spans="1:13" customHeight="1" ht="18">
      <c r="B46" s="74" t="s">
        <v>55</v>
      </c>
      <c r="C46" s="74"/>
      <c r="D46" s="74"/>
      <c r="E46" s="74"/>
      <c r="F46" s="74"/>
      <c r="G46" s="74"/>
      <c r="H46" s="74"/>
      <c r="I46" s="74"/>
      <c r="J46" s="74"/>
      <c r="K46" s="74"/>
      <c r="L46" s="74"/>
    </row>
    <row r="47" spans="1:13" customHeight="1" ht="18">
      <c r="B47" s="74" t="s">
        <v>56</v>
      </c>
      <c r="C47" s="74"/>
      <c r="D47" s="74"/>
      <c r="E47" s="74"/>
      <c r="F47" s="74"/>
      <c r="G47" s="74"/>
      <c r="H47" s="74"/>
      <c r="I47" s="74"/>
      <c r="J47" s="74"/>
      <c r="K47" s="74"/>
      <c r="L47" s="74"/>
    </row>
    <row r="48" spans="1:13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</row>
    <row r="49" spans="1:13" customHeight="1" ht="9">
      <c r="B49" s="46"/>
      <c r="C49" s="46"/>
      <c r="E49" s="46"/>
      <c r="F49" s="46"/>
      <c r="G49" s="46"/>
      <c r="H49" s="46"/>
      <c r="I49" s="46"/>
      <c r="J49" s="46"/>
      <c r="K49" s="46"/>
      <c r="L49" s="46"/>
      <c r="M49" s="46"/>
    </row>
    <row r="50" spans="1:13" customHeight="1" ht="31.8">
      <c r="B50" s="46"/>
      <c r="C50" s="46"/>
      <c r="D50" s="45" t="s">
        <v>0</v>
      </c>
      <c r="E50" s="45"/>
      <c r="F50" s="45"/>
      <c r="G50" s="45"/>
      <c r="H50" s="45"/>
      <c r="I50" s="45"/>
      <c r="J50" s="45"/>
      <c r="K50" s="45"/>
      <c r="L50" s="45"/>
      <c r="M50" s="45"/>
    </row>
    <row r="51" spans="1:13" customHeight="1" ht="21">
      <c r="B51" s="46"/>
      <c r="C51" s="46"/>
      <c r="D51" s="61" t="s">
        <v>57</v>
      </c>
      <c r="E51" s="61"/>
      <c r="F51" s="61"/>
      <c r="G51" s="61"/>
      <c r="H51" s="61"/>
      <c r="I51" s="61"/>
    </row>
    <row r="52" spans="1:13">
      <c r="B52" s="46"/>
      <c r="C52" s="46"/>
    </row>
    <row r="53" spans="1:13">
      <c r="B53" s="46"/>
      <c r="C53" s="46"/>
    </row>
    <row r="54" spans="1:13" customHeight="1" ht="21">
      <c r="B54" s="80" t="s">
        <v>58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</row>
    <row r="56" spans="1:13">
      <c r="B56" s="81" t="s">
        <v>59</v>
      </c>
      <c r="C56" s="81"/>
      <c r="D56" s="81"/>
      <c r="E56" s="81"/>
      <c r="F56" s="81"/>
      <c r="G56" s="81"/>
      <c r="H56" s="81"/>
      <c r="I56" s="81"/>
      <c r="J56" s="81"/>
      <c r="K56" s="81"/>
      <c r="L56" s="81"/>
    </row>
    <row r="57" spans="1:13">
      <c r="B57" s="81" t="s">
        <v>60</v>
      </c>
      <c r="C57" s="81"/>
      <c r="D57" s="81"/>
      <c r="E57" s="81"/>
      <c r="F57" s="81"/>
      <c r="G57" s="81"/>
      <c r="H57" s="81"/>
      <c r="I57" s="81"/>
      <c r="J57" s="81"/>
      <c r="K57" s="81"/>
      <c r="L57" s="81"/>
    </row>
    <row r="58" spans="1:13">
      <c r="B58" s="57" t="s">
        <v>61</v>
      </c>
      <c r="C58" s="57"/>
      <c r="D58" s="57"/>
      <c r="E58" s="57"/>
      <c r="F58" s="57"/>
      <c r="G58" s="57"/>
      <c r="H58" s="57"/>
      <c r="I58" s="57"/>
      <c r="J58" s="57"/>
      <c r="K58" s="57"/>
      <c r="L58" s="57"/>
    </row>
    <row r="59" spans="1:13">
      <c r="B59" s="81" t="s">
        <v>62</v>
      </c>
      <c r="C59" s="81"/>
      <c r="D59" s="81"/>
      <c r="E59" s="81"/>
      <c r="F59" s="81"/>
      <c r="G59" s="81"/>
      <c r="H59" s="81"/>
      <c r="I59" s="81"/>
      <c r="J59" s="81"/>
      <c r="K59" s="81"/>
      <c r="L59" s="81"/>
    </row>
    <row r="60" spans="1:13">
      <c r="B60" s="81" t="s">
        <v>63</v>
      </c>
      <c r="C60" s="81"/>
      <c r="D60" s="81"/>
      <c r="E60" s="81"/>
      <c r="F60" s="81"/>
      <c r="G60" s="81"/>
      <c r="H60" s="81"/>
      <c r="I60" s="81"/>
      <c r="J60" s="81"/>
      <c r="K60" s="81"/>
      <c r="L60" s="81"/>
    </row>
    <row r="61" spans="1:13">
      <c r="B61" s="57" t="s">
        <v>64</v>
      </c>
      <c r="C61" s="57"/>
      <c r="D61" s="57"/>
      <c r="E61" s="57"/>
      <c r="F61" s="57"/>
      <c r="G61" s="57"/>
      <c r="H61" s="57"/>
      <c r="I61" s="57"/>
      <c r="J61" s="57"/>
      <c r="K61" s="57"/>
      <c r="L61" s="57"/>
    </row>
    <row r="62" spans="1:13">
      <c r="B62" s="81" t="s">
        <v>65</v>
      </c>
      <c r="C62" s="81"/>
      <c r="D62" s="81"/>
      <c r="E62" s="81"/>
      <c r="F62" s="81"/>
      <c r="G62" s="81"/>
      <c r="H62" s="81"/>
      <c r="I62" s="81"/>
      <c r="J62" s="81"/>
      <c r="K62" s="81"/>
      <c r="L62" s="81"/>
    </row>
    <row r="63" spans="1:13">
      <c r="B63" s="81" t="s">
        <v>66</v>
      </c>
      <c r="C63" s="81"/>
      <c r="D63" s="81"/>
      <c r="E63" s="81"/>
      <c r="F63" s="81"/>
      <c r="G63" s="81"/>
      <c r="H63" s="81"/>
      <c r="I63" s="81"/>
      <c r="J63" s="81"/>
      <c r="K63" s="81"/>
      <c r="L63" s="81"/>
    </row>
    <row r="64" spans="1:13">
      <c r="B64" s="81" t="s">
        <v>67</v>
      </c>
      <c r="C64" s="81"/>
      <c r="D64" s="81"/>
      <c r="E64" s="81"/>
      <c r="F64" s="81"/>
      <c r="G64" s="81"/>
      <c r="H64" s="81"/>
      <c r="I64" s="81"/>
      <c r="J64" s="81"/>
      <c r="K64" s="81"/>
      <c r="L64" s="81"/>
    </row>
    <row r="65" spans="1:13">
      <c r="B65" s="81" t="s">
        <v>68</v>
      </c>
      <c r="C65" s="81"/>
      <c r="D65" s="81"/>
      <c r="E65" s="81"/>
      <c r="F65" s="81"/>
      <c r="G65" s="81"/>
      <c r="H65" s="81"/>
      <c r="I65" s="81"/>
      <c r="J65" s="81"/>
      <c r="K65" s="81"/>
      <c r="L65" s="81"/>
    </row>
    <row r="66" spans="1:13">
      <c r="B66" s="81" t="s">
        <v>69</v>
      </c>
      <c r="C66" s="81"/>
      <c r="D66" s="81"/>
      <c r="E66" s="81"/>
      <c r="F66" s="81"/>
      <c r="G66" s="81"/>
      <c r="H66" s="81"/>
      <c r="I66" s="81"/>
      <c r="J66" s="81"/>
      <c r="K66" s="81"/>
      <c r="L66" s="81"/>
    </row>
    <row r="67" spans="1:13">
      <c r="B67" s="81" t="s">
        <v>70</v>
      </c>
      <c r="C67" s="81"/>
      <c r="D67" s="81"/>
      <c r="E67" s="81"/>
      <c r="F67" s="81"/>
      <c r="G67" s="81"/>
      <c r="H67" s="81"/>
      <c r="I67" s="81"/>
      <c r="J67" s="81"/>
      <c r="K67" s="81"/>
      <c r="L67" s="81"/>
    </row>
    <row r="68" spans="1:13">
      <c r="B68" s="81" t="s">
        <v>71</v>
      </c>
      <c r="C68" s="81"/>
      <c r="D68" s="81"/>
      <c r="E68" s="81"/>
      <c r="F68" s="81"/>
      <c r="G68" s="81"/>
      <c r="H68" s="81"/>
      <c r="I68" s="81"/>
      <c r="J68" s="81"/>
      <c r="K68" s="81"/>
      <c r="L68" s="81"/>
    </row>
    <row r="69" spans="1:13">
      <c r="B69" s="81" t="s">
        <v>72</v>
      </c>
      <c r="C69" s="81"/>
      <c r="D69" s="81"/>
      <c r="E69" s="81"/>
      <c r="F69" s="81"/>
      <c r="G69" s="81"/>
      <c r="H69" s="81"/>
      <c r="I69" s="81"/>
      <c r="J69" s="81"/>
      <c r="K69" s="81"/>
      <c r="L69" s="81"/>
    </row>
    <row r="70" spans="1:13">
      <c r="B70" s="81" t="s">
        <v>73</v>
      </c>
      <c r="C70" s="81"/>
      <c r="D70" s="81"/>
      <c r="E70" s="81"/>
      <c r="F70" s="81"/>
      <c r="G70" s="81"/>
      <c r="H70" s="81"/>
      <c r="I70" s="81"/>
      <c r="J70" s="81"/>
      <c r="K70" s="81"/>
      <c r="L70" s="81"/>
    </row>
    <row r="71" spans="1:13">
      <c r="B71" s="81" t="s">
        <v>74</v>
      </c>
      <c r="C71" s="81"/>
      <c r="D71" s="81"/>
      <c r="E71" s="81"/>
      <c r="F71" s="81"/>
      <c r="G71" s="81"/>
      <c r="H71" s="81"/>
      <c r="I71" s="81"/>
      <c r="J71" s="81"/>
      <c r="K71" s="81"/>
      <c r="L71" s="81"/>
    </row>
    <row r="72" spans="1:13">
      <c r="B72" s="81" t="s">
        <v>75</v>
      </c>
      <c r="C72" s="81"/>
      <c r="D72" s="81"/>
      <c r="E72" s="81"/>
      <c r="F72" s="81"/>
      <c r="G72" s="81"/>
      <c r="H72" s="81"/>
      <c r="I72" s="81"/>
      <c r="J72" s="81"/>
      <c r="K72" s="81"/>
      <c r="L72" s="81"/>
    </row>
    <row r="73" spans="1:13">
      <c r="B73" s="77" t="s">
        <v>76</v>
      </c>
      <c r="C73" s="77"/>
      <c r="D73" s="77"/>
      <c r="E73" s="77"/>
      <c r="F73" s="77"/>
      <c r="G73" s="77"/>
      <c r="H73" s="77"/>
      <c r="I73" s="77"/>
      <c r="J73" s="77"/>
      <c r="K73" s="77"/>
      <c r="L73" s="77"/>
    </row>
    <row r="74" spans="1:13">
      <c r="B74" s="81" t="s">
        <v>77</v>
      </c>
      <c r="C74" s="81"/>
      <c r="D74" s="81"/>
      <c r="E74" s="81"/>
      <c r="F74" s="81"/>
      <c r="G74" s="81"/>
      <c r="H74" s="81"/>
      <c r="I74" s="81"/>
      <c r="J74" s="81"/>
      <c r="K74" s="81"/>
      <c r="L74" s="81"/>
    </row>
    <row r="75" spans="1:13">
      <c r="B75" s="77" t="s">
        <v>78</v>
      </c>
      <c r="C75" s="77"/>
      <c r="D75" s="77"/>
      <c r="E75" s="77"/>
      <c r="F75" s="77"/>
      <c r="G75" s="77"/>
      <c r="H75" s="77"/>
      <c r="I75" s="77"/>
      <c r="J75" s="77"/>
      <c r="K75" s="77"/>
      <c r="L75" s="77"/>
    </row>
    <row r="76" spans="1:13">
      <c r="B76" s="81" t="s">
        <v>79</v>
      </c>
      <c r="C76" s="81"/>
      <c r="D76" s="81"/>
      <c r="E76" s="81"/>
      <c r="F76" s="81"/>
      <c r="G76" s="81"/>
      <c r="H76" s="81"/>
      <c r="I76" s="81"/>
      <c r="J76" s="81"/>
      <c r="K76" s="81"/>
      <c r="L76" s="81"/>
    </row>
    <row r="77" spans="1:13">
      <c r="B77" s="81" t="s">
        <v>80</v>
      </c>
      <c r="C77" s="81"/>
      <c r="D77" s="81"/>
      <c r="E77" s="81"/>
      <c r="F77" s="81"/>
      <c r="G77" s="81"/>
      <c r="H77" s="81"/>
      <c r="I77" s="81"/>
      <c r="J77" s="81"/>
      <c r="K77" s="81"/>
      <c r="L77" s="81"/>
    </row>
    <row r="78" spans="1:13">
      <c r="B78" s="81" t="s">
        <v>81</v>
      </c>
      <c r="C78" s="81"/>
      <c r="D78" s="81"/>
      <c r="E78" s="81"/>
      <c r="F78" s="81"/>
      <c r="G78" s="81"/>
      <c r="H78" s="81"/>
      <c r="I78" s="81"/>
      <c r="J78" s="81"/>
      <c r="K78" s="81"/>
      <c r="L78" s="81"/>
    </row>
    <row r="79" spans="1:13">
      <c r="B79" s="81" t="s">
        <v>82</v>
      </c>
      <c r="C79" s="81"/>
      <c r="D79" s="81"/>
      <c r="E79" s="81"/>
      <c r="F79" s="81"/>
      <c r="G79" s="81"/>
      <c r="H79" s="81"/>
      <c r="I79" s="81"/>
      <c r="J79" s="81"/>
      <c r="K79" s="81"/>
      <c r="L79" s="81"/>
    </row>
    <row r="80" spans="1:13">
      <c r="B80" s="81" t="s">
        <v>83</v>
      </c>
      <c r="C80" s="81"/>
      <c r="D80" s="81"/>
      <c r="E80" s="81"/>
      <c r="F80" s="81"/>
      <c r="G80" s="81"/>
      <c r="H80" s="81"/>
      <c r="I80" s="81"/>
      <c r="J80" s="81"/>
      <c r="K80" s="81"/>
      <c r="L80" s="81"/>
    </row>
    <row r="81" spans="1:13">
      <c r="A81" s="40"/>
      <c r="B81" s="82" t="s">
        <v>84</v>
      </c>
      <c r="C81" s="82"/>
      <c r="D81" s="82"/>
      <c r="E81" s="82"/>
      <c r="F81" s="82"/>
      <c r="G81" s="82"/>
      <c r="H81" s="82"/>
      <c r="I81" s="82"/>
      <c r="J81" s="82"/>
      <c r="K81" s="82"/>
      <c r="L81" s="82"/>
    </row>
    <row r="82" spans="1:13">
      <c r="A82" s="40"/>
      <c r="B82" s="81" t="s">
        <v>85</v>
      </c>
      <c r="C82" s="81"/>
      <c r="D82" s="81"/>
      <c r="E82" s="81"/>
      <c r="F82" s="81"/>
      <c r="G82" s="81"/>
      <c r="H82" s="81"/>
      <c r="I82" s="81"/>
      <c r="J82" s="81"/>
      <c r="K82" s="81"/>
      <c r="L82" s="81"/>
    </row>
    <row r="83" spans="1:13">
      <c r="A83" s="40"/>
      <c r="B83" s="82" t="s">
        <v>86</v>
      </c>
      <c r="C83" s="82"/>
      <c r="D83" s="82"/>
      <c r="E83" s="82"/>
      <c r="F83" s="82"/>
      <c r="G83" s="82"/>
      <c r="H83" s="82"/>
      <c r="I83" s="82"/>
      <c r="J83" s="82"/>
      <c r="K83" s="82"/>
      <c r="L83" s="82"/>
    </row>
    <row r="85" spans="1:13">
      <c r="C85" s="46"/>
      <c r="D85" s="46"/>
      <c r="E85" s="46"/>
      <c r="F85" s="46"/>
      <c r="G85" s="46"/>
      <c r="H85" s="46"/>
      <c r="I85" s="46"/>
    </row>
    <row r="86" spans="1:13">
      <c r="C86" s="46"/>
      <c r="D86" s="46"/>
      <c r="E86" s="46"/>
      <c r="F86" s="46"/>
      <c r="G86" s="46"/>
      <c r="H86" s="46"/>
      <c r="I86" s="46"/>
    </row>
    <row r="87" spans="1:13">
      <c r="C87" s="46"/>
      <c r="D87" s="46"/>
      <c r="E87" s="46"/>
      <c r="F87" s="46"/>
      <c r="G87" s="46"/>
      <c r="H87" s="46"/>
      <c r="I87" s="46"/>
    </row>
    <row r="88" spans="1:13">
      <c r="C88" s="46"/>
      <c r="D88" s="46"/>
      <c r="E88" s="46"/>
      <c r="F88" s="46"/>
      <c r="G88" s="46"/>
      <c r="H88" s="46"/>
      <c r="I88" s="46"/>
    </row>
    <row r="89" spans="1:13">
      <c r="C89" s="46"/>
      <c r="D89" s="46"/>
      <c r="E89" s="46"/>
      <c r="F89" s="46"/>
      <c r="G89" s="46"/>
      <c r="H89" s="46"/>
      <c r="I89" s="46"/>
    </row>
    <row r="90" spans="1:13">
      <c r="C90" s="46"/>
      <c r="D90" s="46"/>
      <c r="E90" s="46"/>
      <c r="F90" s="46"/>
      <c r="G90" s="46"/>
      <c r="H90" s="46"/>
      <c r="I90" s="46"/>
    </row>
    <row r="91" spans="1:13">
      <c r="C91" s="46"/>
      <c r="D91" s="46"/>
      <c r="E91" s="46"/>
      <c r="F91" s="46"/>
      <c r="G91" s="46"/>
      <c r="H91" s="46"/>
      <c r="I91" s="46"/>
    </row>
    <row r="92" spans="1:13" customHeight="1" ht="15.6">
      <c r="C92" s="46"/>
      <c r="D92" s="46"/>
      <c r="E92" s="46"/>
      <c r="F92" s="46"/>
      <c r="G92" s="46"/>
      <c r="H92" s="46"/>
      <c r="I92" s="46"/>
    </row>
    <row r="93" spans="1:13" customHeight="1" ht="15.6">
      <c r="C93" s="46"/>
      <c r="D93" s="46"/>
      <c r="E93" s="46"/>
      <c r="F93" s="46"/>
      <c r="G93" s="46"/>
      <c r="H93" s="46"/>
      <c r="I93" s="46"/>
    </row>
    <row r="94" spans="1:13">
      <c r="C94" s="46"/>
      <c r="D94" s="46"/>
      <c r="E94" s="46"/>
      <c r="F94" s="46"/>
      <c r="G94" s="46"/>
      <c r="H94" s="46"/>
      <c r="I94" s="46"/>
    </row>
    <row r="100" spans="1:13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C38:E38"/>
    <mergeCell ref="K38:L38"/>
    <mergeCell ref="B43:L43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Z54"/>
  <sheetViews>
    <sheetView tabSelected="0" workbookViewId="0" showGridLines="true" showRowColHeaders="1">
      <selection activeCell="D19" sqref="D19"/>
    </sheetView>
  </sheetViews>
  <sheetFormatPr defaultRowHeight="14.4" outlineLevelRow="0" outlineLevelCol="0"/>
  <cols>
    <col min="2" max="2" width="19.995117" bestFit="true" customWidth="true" style="0"/>
  </cols>
  <sheetData>
    <row r="1" spans="1:26">
      <c r="B1" s="87" t="s">
        <v>87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4" spans="1:26">
      <c r="B4" t="s">
        <v>88</v>
      </c>
      <c r="C4" t="s">
        <v>89</v>
      </c>
      <c r="D4" t="s">
        <v>90</v>
      </c>
    </row>
    <row r="5" spans="1:26">
      <c r="B5" t="s">
        <v>91</v>
      </c>
      <c r="C5" t="str">
        <f>SUM(C12:C12)</f>
        <v>0</v>
      </c>
      <c r="D5" t="str">
        <f>SUM(D12:D12)</f>
        <v>0</v>
      </c>
      <c r="E5" t="str">
        <f>SUM(C12:D12)</f>
        <v>0</v>
      </c>
    </row>
    <row r="6" spans="1:26">
      <c r="B6" t="s">
        <v>92</v>
      </c>
      <c r="C6" t="str">
        <f>SUM(C13:C13)</f>
        <v>0</v>
      </c>
      <c r="D6" t="str">
        <f>SUM(D13:D13)</f>
        <v>0</v>
      </c>
      <c r="E6" t="str">
        <f>SUM(C13:D13)</f>
        <v>0</v>
      </c>
    </row>
    <row r="7" spans="1:26">
      <c r="B7" t="s">
        <v>93</v>
      </c>
    </row>
    <row r="8" spans="1:26">
      <c r="B8" t="s">
        <v>94</v>
      </c>
    </row>
    <row r="10" spans="1:26">
      <c r="C10"/>
      <c r="D10"/>
    </row>
    <row r="11" spans="1:26">
      <c r="B11" s="88" t="s">
        <v>95</v>
      </c>
      <c r="C11" t="s">
        <v>49</v>
      </c>
      <c r="D11" t="s">
        <v>50</v>
      </c>
    </row>
    <row r="12" spans="1:26">
      <c r="B12" t="s">
        <v>96</v>
      </c>
      <c r="C12">
        <v>8</v>
      </c>
      <c r="D12">
        <v>3</v>
      </c>
      <c r="E12" t="str">
        <f>SUM(C12:D12)</f>
        <v>0</v>
      </c>
    </row>
    <row r="13" spans="1:26">
      <c r="B13" t="s">
        <v>97</v>
      </c>
      <c r="C13">
        <v>136.9</v>
      </c>
      <c r="D13">
        <v>178</v>
      </c>
      <c r="E13" t="str">
        <f>SUM(C13:D13)</f>
        <v>0</v>
      </c>
    </row>
    <row r="14" spans="1:26">
      <c r="B14" t="s">
        <v>98</v>
      </c>
      <c r="C14"/>
      <c r="D14"/>
      <c r="E14" t="str">
        <f>SUM(C14:D14)</f>
        <v>0</v>
      </c>
    </row>
    <row r="15" spans="1:26">
      <c r="B15" t="s">
        <v>99</v>
      </c>
      <c r="C15"/>
      <c r="D15"/>
      <c r="E15" t="str">
        <f>SUM(C15:D15)</f>
        <v>0</v>
      </c>
    </row>
    <row r="16" spans="1:26">
      <c r="B16" s="89" t="s">
        <v>100</v>
      </c>
    </row>
    <row r="17" spans="1:26">
      <c r="B17" t="s">
        <v>101</v>
      </c>
      <c r="C17"/>
      <c r="D17"/>
      <c r="E17" t="str">
        <f>SUM(C17:D17)</f>
        <v>0</v>
      </c>
    </row>
    <row r="18" spans="1:26">
      <c r="B18" s="89" t="s">
        <v>102</v>
      </c>
      <c r="C18" t="str">
        <f>C15*C17</f>
        <v>0</v>
      </c>
      <c r="D18" t="str">
        <f>D15*D17</f>
        <v>0</v>
      </c>
      <c r="E18" t="str">
        <f>SUM(C18:D18)</f>
        <v>0</v>
      </c>
    </row>
    <row r="19" spans="1:26">
      <c r="B19" s="89" t="s">
        <v>103</v>
      </c>
      <c r="C19" s="90" t="str">
        <f>C18/E18</f>
        <v>0</v>
      </c>
      <c r="D19" s="90" t="str">
        <f>D18/E18</f>
        <v>0</v>
      </c>
    </row>
    <row r="20" spans="1:26">
      <c r="B20" t="s">
        <v>104</v>
      </c>
      <c r="C20" t="str">
        <f>E20*C19</f>
        <v>0</v>
      </c>
      <c r="D20" t="str">
        <f>E20*D19</f>
        <v>0</v>
      </c>
      <c r="E20" t="str">
        <f>E14*0.6*350</f>
        <v>0</v>
      </c>
    </row>
    <row r="21" spans="1:26">
      <c r="B21" t="s">
        <v>105</v>
      </c>
      <c r="C21" t="str">
        <f>C18+C20</f>
        <v>0</v>
      </c>
      <c r="D21" t="str">
        <f>D18+D20</f>
        <v>0</v>
      </c>
      <c r="E21" t="str">
        <f>SUM(C21:D21)</f>
        <v>0</v>
      </c>
    </row>
    <row r="22" spans="1:26">
      <c r="B22" t="s">
        <v>106</v>
      </c>
      <c r="C22" t="str">
        <f>E22*C19</f>
        <v>0</v>
      </c>
      <c r="D22" t="str">
        <f>E22*D19</f>
        <v>0</v>
      </c>
      <c r="E22" t="str">
        <f>IF(E21&gt;5000,100,50)</f>
        <v>0</v>
      </c>
    </row>
    <row r="23" spans="1:26">
      <c r="B23" t="s">
        <v>107</v>
      </c>
      <c r="C23" t="str">
        <f>C21+C22</f>
        <v>0</v>
      </c>
      <c r="D23" t="str">
        <f>D21+D22</f>
        <v>0</v>
      </c>
    </row>
    <row r="28" spans="1:26">
      <c r="B28" s="87" t="s">
        <v>108</v>
      </c>
      <c r="C28" s="86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31" spans="1:26">
      <c r="B31" t="s">
        <v>109</v>
      </c>
      <c r="C31" t="str">
        <f>*C17</f>
        <v>0</v>
      </c>
      <c r="D31" t="str">
        <f>*D17</f>
        <v>0</v>
      </c>
      <c r="E31" t="str">
        <f>SUM(C31:D31)</f>
        <v>0</v>
      </c>
    </row>
    <row r="33" spans="1:26">
      <c r="C33" s="90" t="s">
        <v>110</v>
      </c>
      <c r="D33" s="90" t="s">
        <v>110</v>
      </c>
    </row>
    <row r="34" spans="1:26">
      <c r="B34" t="s">
        <v>111</v>
      </c>
      <c r="C34" t="str">
        <f>*C23</f>
        <v>0</v>
      </c>
      <c r="D34" t="str">
        <f>*D23</f>
        <v>0</v>
      </c>
      <c r="E34" t="str">
        <f>SUM(C34:D34)</f>
        <v>0</v>
      </c>
    </row>
    <row r="35" spans="1:26">
      <c r="B35" t="s">
        <v>112</v>
      </c>
      <c r="C35" t="str">
        <f>C23*0.16</f>
        <v>0</v>
      </c>
      <c r="D35" t="str">
        <f>D23*0.16</f>
        <v>0</v>
      </c>
      <c r="E35" t="str">
        <f>SUM(C35:D35)</f>
        <v>0</v>
      </c>
    </row>
    <row r="36" spans="1:26">
      <c r="B36" t="s">
        <v>113</v>
      </c>
      <c r="C36" t="str">
        <f>C23*0.02</f>
        <v>0</v>
      </c>
      <c r="D36" t="str">
        <f>D23*0.02</f>
        <v>0</v>
      </c>
      <c r="E36" t="str">
        <f>SUM(C36:D36)</f>
        <v>0</v>
      </c>
    </row>
    <row r="37" spans="1:26">
      <c r="B37" t="s">
        <v>114</v>
      </c>
      <c r="C37" t="str">
        <f>C23*</f>
        <v>0</v>
      </c>
      <c r="D37" t="str">
        <f>D23*</f>
        <v>0</v>
      </c>
      <c r="E37" t="str">
        <f>SUM(C36:D37)</f>
        <v>0</v>
      </c>
    </row>
    <row r="38" spans="1:26">
      <c r="B38" t="s">
        <v>36</v>
      </c>
      <c r="C38" t="str">
        <f>SUM(C34:C37)</f>
        <v>0</v>
      </c>
      <c r="D38" t="str">
        <f>SUM(D34:D37)</f>
        <v>0</v>
      </c>
      <c r="E38" t="str">
        <f>SUM(C38:D38)</f>
        <v>0</v>
      </c>
    </row>
    <row r="39" spans="1:26">
      <c r="T39" t="s">
        <v>115</v>
      </c>
    </row>
    <row r="40" spans="1:26">
      <c r="T40">
        <v>3.7</v>
      </c>
    </row>
    <row r="42" spans="1:26">
      <c r="B42" s="87" t="s">
        <v>116</v>
      </c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5" spans="1:26">
      <c r="B45" t="s">
        <v>117</v>
      </c>
      <c r="C45" t="str">
        <f>E45*C19</f>
        <v>0</v>
      </c>
      <c r="D45" t="str">
        <f>E45*D19</f>
        <v>0</v>
      </c>
      <c r="E45" t="str">
        <f>E14*0.4*350</f>
        <v>0</v>
      </c>
    </row>
    <row r="48" spans="1:26">
      <c r="B48" s="87" t="s">
        <v>118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50" spans="1:26">
      <c r="B50" t="s">
        <v>117</v>
      </c>
      <c r="C50" t="s">
        <v>49</v>
      </c>
      <c r="D50" t="s">
        <v>50</v>
      </c>
    </row>
    <row r="51" spans="1:26">
      <c r="B51" t="s">
        <v>119</v>
      </c>
      <c r="C51" t="str">
        <f>C21+C31+C38+C45</f>
        <v>0</v>
      </c>
      <c r="D51" t="str">
        <f>D21+D31+D38+D45</f>
        <v>0</v>
      </c>
    </row>
    <row r="52" spans="1:26">
      <c r="B52" t="s">
        <v>45</v>
      </c>
      <c r="C52" t="str">
        <f>C17</f>
        <v>0</v>
      </c>
      <c r="D52" t="str">
        <f>D17</f>
        <v>0</v>
      </c>
    </row>
    <row r="53" spans="1:26">
      <c r="B53" t="s">
        <v>120</v>
      </c>
      <c r="C53" t="str">
        <f>C51/C52</f>
        <v>0</v>
      </c>
      <c r="D53" t="str">
        <f>D51/D52</f>
        <v>0</v>
      </c>
    </row>
    <row r="54" spans="1:26">
      <c r="B54" t="s">
        <v>121</v>
      </c>
      <c r="C54" t="str">
        <f>C53*T40</f>
        <v>0</v>
      </c>
      <c r="D54" t="str">
        <f>D53*T40</f>
        <v>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Z1"/>
    <mergeCell ref="B28:Z28"/>
    <mergeCell ref="B42:Z42"/>
    <mergeCell ref="B48:Z48"/>
    <mergeCell ref="C14:C14"/>
    <mergeCell ref="D14:D14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