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'1'!$A$1:$M$115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<sst xmlns="http://schemas.openxmlformats.org/spreadsheetml/2006/main" uniqueCount="130">
  <si>
    <t>PRO MUNDO COMEX S.A.C.</t>
  </si>
  <si>
    <t xml:space="preserve">         RUC: 20612452432</t>
  </si>
  <si>
    <t>COTIZACION N002</t>
  </si>
  <si>
    <t>NOMBRE:</t>
  </si>
  <si>
    <t>JOSE SMITH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</si>
  <si>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</si>
  <si>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</si>
  <si>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</si>
  <si>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</si>
  <si>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</si>
  <si>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</si>
  <si>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</si>
  <si>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</si>
  <si>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ANTIGUO</t>
  </si>
  <si>
    <t>ORIGEN:</t>
  </si>
  <si>
    <t>CHINA</t>
  </si>
  <si>
    <t>MEDIDA:</t>
  </si>
  <si>
    <t>TELEFONO:</t>
  </si>
  <si>
    <t>CLIENTE: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</si>
  <si>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</si>
  <si>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</si>
  <si>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</si>
  <si>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</si>
  <si>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</si>
  <si>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</si>
  <si>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</si>
  <si>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</si>
  <si>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</si>
  <si>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</si>
  <si>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</si>
  <si>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JOSE SMITH 😁 un gusto saludarte!
        A continuación te envío la cotización final de tu importación📋📦.
        🙋‍♂️ PAGO PENDIENTE :
        ☑️Costo CBM: $415.8
        ☑️Impuestos: $5623.62
        ☑️ Total: $6039.42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</si>
  <si>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</si>
  <si>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</si>
  <si>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</si>
  <si>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</si>
  <si>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</si>
  <si>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</si>
  <si>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</si>
  <si>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</si>
  <si>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</si>
  <si>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</si>
  <si>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</si>
  <si>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</si>
  <si>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</si>
  <si>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</si>
  <si>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</si>
  <si>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</si>
  <si>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</si>
  <si>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</si>
  <si>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POSA RUEDAS O TOPES PARA RUEDAS</t>
  </si>
  <si>
    <t>CARTERAS PARA DAMA</t>
  </si>
  <si>
    <t>SCOOTER ELECTRICO PARA NIÑO</t>
  </si>
  <si>
    <t>ADAPTADOR USB SATA</t>
  </si>
  <si>
    <t>CASE PARA DISCO DURO</t>
  </si>
  <si>
    <t>CADDY 2.5" PARA COMPUTADORA</t>
  </si>
  <si>
    <t>MOTHERBOARD H61 PARA COMPUTADORA</t>
  </si>
  <si>
    <t>MOTHERBOARD H81 PARA COMPUTADORA</t>
  </si>
  <si>
    <t>TARJETA GRAFICA GT730 PARA COMPUTADORA</t>
  </si>
  <si>
    <t>TARJETA GRAFICA GTX750TI PARA COMPUTADORA</t>
  </si>
  <si>
    <t>AFEITADORA ELÉCTRICA CDH002-MN</t>
  </si>
  <si>
    <t>CAPA PARA BARBERIA</t>
  </si>
  <si>
    <t>AFEITADORA CLASICA AJUSTABLE</t>
  </si>
  <si>
    <t>BASE DE SOPORTE PARA MAQUINA DE AFEITAR</t>
  </si>
  <si>
    <t>SET DE 50 HOJAS PARA AFEITAR</t>
  </si>
  <si>
    <t>EMBRAGUE DE LIBERACIÓN PARA BATERIA ACUSTICA</t>
  </si>
  <si>
    <t>ABRAZADERA PARA TABOR DE BATERÍA ACUSTICA</t>
  </si>
  <si>
    <t>SET DE SEGURO PARA PLATILLOS</t>
  </si>
  <si>
    <t>TUERCAS PARA PLATILLOS DE BATERIA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</si>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</sst>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  <numFmt numFmtId="174" formatCode="0 &quot;m3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17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8.png"/><Relationship Id="rId2" Type="http://schemas.openxmlformats.org/officeDocument/2006/relationships/image" Target="../media/image19.png"/><Relationship Id="rId3" Type="http://schemas.openxmlformats.org/officeDocument/2006/relationships/image" Target="../media/image210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96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2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 t="s">
        <v>13</v>
      </c>
      <c r="D10" s="34"/>
      <c r="E10" s="27" t="s">
        <v>14</v>
      </c>
      <c r="F10" s="43" t="s">
        <v>15</v>
      </c>
      <c r="G10" s="44"/>
      <c r="H10" s="33"/>
      <c r="I10" s="1" t="s">
        <v>16</v>
      </c>
      <c r="J10" s="63"/>
      <c r="K10" s="96"/>
      <c r="L10" s="63"/>
    </row>
    <row r="11" spans="1:14">
      <c r="B11" s="8" t="s">
        <v>17</v>
      </c>
      <c r="C11" s="17">
        <v>1234567</v>
      </c>
      <c r="D11" s="35"/>
      <c r="E11" s="24" t="s">
        <v>18</v>
      </c>
      <c r="F11" s="48" t="s">
        <v>13</v>
      </c>
      <c r="G11" s="65"/>
      <c r="H11" s="33"/>
      <c r="I11" s="1" t="s">
        <v>19</v>
      </c>
      <c r="J11" s="95" t="str">
        <f>'2'!V7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'2'!V11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'2'!V14 + '2'!V17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MAX('2'!C27:U27)</f>
        <v>0</v>
      </c>
      <c r="K20" s="14" t="str">
        <f>'2'!V28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'2'!V29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'2'!V30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'2'!V31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IF('2'!Z7&lt;1, '2'!Z7*J11, '2'!Z7*J11)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56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57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58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1">
        <v>11</v>
      </c>
      <c r="C46" s="5" t="s">
        <v>59</v>
      </c>
      <c r="D46" s="5"/>
      <c r="E46" s="5"/>
      <c r="F46" s="5" t="str">
        <f>'2'!M10</f>
        <v>0</v>
      </c>
      <c r="G46" s="88" t="str">
        <f>'2'!M8</f>
        <v>0</v>
      </c>
      <c r="H46" s="5"/>
      <c r="I46" s="88" t="str">
        <f>'2'!M46</f>
        <v>0</v>
      </c>
      <c r="J46" s="88" t="str">
        <f>'2'!M44</f>
        <v>0</v>
      </c>
      <c r="K46" s="89" t="str">
        <f>'2'!M47</f>
        <v>0</v>
      </c>
      <c r="L46" s="3"/>
    </row>
    <row r="47" spans="1:14" customHeight="1" ht="18">
      <c r="B47" s="91">
        <v>12</v>
      </c>
      <c r="C47" s="5" t="s">
        <v>60</v>
      </c>
      <c r="D47" s="5"/>
      <c r="E47" s="5"/>
      <c r="F47" s="5" t="str">
        <f>'2'!N10</f>
        <v>0</v>
      </c>
      <c r="G47" s="88" t="str">
        <f>'2'!N8</f>
        <v>0</v>
      </c>
      <c r="H47" s="5"/>
      <c r="I47" s="88" t="str">
        <f>'2'!N46</f>
        <v>0</v>
      </c>
      <c r="J47" s="88" t="str">
        <f>'2'!N44</f>
        <v>0</v>
      </c>
      <c r="K47" s="89" t="str">
        <f>'2'!N47</f>
        <v>0</v>
      </c>
      <c r="L47" s="3"/>
    </row>
    <row r="48" spans="1:14" customHeight="1" ht="18">
      <c r="B48" s="91">
        <v>13</v>
      </c>
      <c r="C48" s="5" t="s">
        <v>61</v>
      </c>
      <c r="D48" s="5"/>
      <c r="E48" s="5"/>
      <c r="F48" s="5" t="str">
        <f>'2'!O10</f>
        <v>0</v>
      </c>
      <c r="G48" s="88" t="str">
        <f>'2'!O8</f>
        <v>0</v>
      </c>
      <c r="H48" s="5"/>
      <c r="I48" s="88" t="str">
        <f>'2'!O46</f>
        <v>0</v>
      </c>
      <c r="J48" s="88" t="str">
        <f>'2'!O44</f>
        <v>0</v>
      </c>
      <c r="K48" s="89" t="str">
        <f>'2'!O47</f>
        <v>0</v>
      </c>
      <c r="L48" s="3"/>
    </row>
    <row r="49" spans="1:14" customHeight="1" ht="18">
      <c r="B49" s="91">
        <v>14</v>
      </c>
      <c r="C49" s="5" t="s">
        <v>62</v>
      </c>
      <c r="D49" s="5"/>
      <c r="E49" s="5"/>
      <c r="F49" s="5" t="str">
        <f>'2'!P10</f>
        <v>0</v>
      </c>
      <c r="G49" s="88" t="str">
        <f>'2'!P8</f>
        <v>0</v>
      </c>
      <c r="H49" s="5"/>
      <c r="I49" s="88" t="str">
        <f>'2'!P46</f>
        <v>0</v>
      </c>
      <c r="J49" s="88" t="str">
        <f>'2'!P44</f>
        <v>0</v>
      </c>
      <c r="K49" s="89" t="str">
        <f>'2'!P47</f>
        <v>0</v>
      </c>
      <c r="L49" s="3"/>
    </row>
    <row r="50" spans="1:14" customHeight="1" ht="18">
      <c r="B50" s="91">
        <v>15</v>
      </c>
      <c r="C50" s="5" t="s">
        <v>63</v>
      </c>
      <c r="D50" s="5"/>
      <c r="E50" s="5"/>
      <c r="F50" s="5" t="str">
        <f>'2'!Q10</f>
        <v>0</v>
      </c>
      <c r="G50" s="88" t="str">
        <f>'2'!Q8</f>
        <v>0</v>
      </c>
      <c r="H50" s="5"/>
      <c r="I50" s="88" t="str">
        <f>'2'!Q46</f>
        <v>0</v>
      </c>
      <c r="J50" s="88" t="str">
        <f>'2'!Q44</f>
        <v>0</v>
      </c>
      <c r="K50" s="89" t="str">
        <f>'2'!Q47</f>
        <v>0</v>
      </c>
      <c r="L50" s="3"/>
    </row>
    <row r="51" spans="1:14" customHeight="1" ht="18">
      <c r="B51" s="91">
        <v>16</v>
      </c>
      <c r="C51" s="5" t="s">
        <v>64</v>
      </c>
      <c r="D51" s="5"/>
      <c r="E51" s="5"/>
      <c r="F51" s="5" t="str">
        <f>'2'!R10</f>
        <v>0</v>
      </c>
      <c r="G51" s="88" t="str">
        <f>'2'!R8</f>
        <v>0</v>
      </c>
      <c r="H51" s="5"/>
      <c r="I51" s="88" t="str">
        <f>'2'!R46</f>
        <v>0</v>
      </c>
      <c r="J51" s="88" t="str">
        <f>'2'!R44</f>
        <v>0</v>
      </c>
      <c r="K51" s="89" t="str">
        <f>'2'!R47</f>
        <v>0</v>
      </c>
      <c r="L51" s="3"/>
    </row>
    <row r="52" spans="1:14" customHeight="1" ht="18">
      <c r="B52" s="91">
        <v>17</v>
      </c>
      <c r="C52" s="5" t="s">
        <v>65</v>
      </c>
      <c r="D52" s="5"/>
      <c r="E52" s="5"/>
      <c r="F52" s="5" t="str">
        <f>'2'!S10</f>
        <v>0</v>
      </c>
      <c r="G52" s="88" t="str">
        <f>'2'!S8</f>
        <v>0</v>
      </c>
      <c r="H52" s="5"/>
      <c r="I52" s="88" t="str">
        <f>'2'!S46</f>
        <v>0</v>
      </c>
      <c r="J52" s="88" t="str">
        <f>'2'!S44</f>
        <v>0</v>
      </c>
      <c r="K52" s="89" t="str">
        <f>'2'!S47</f>
        <v>0</v>
      </c>
      <c r="L52" s="3"/>
    </row>
    <row r="53" spans="1:14" customHeight="1" ht="18">
      <c r="B53" s="91">
        <v>18</v>
      </c>
      <c r="C53" s="5" t="s">
        <v>66</v>
      </c>
      <c r="D53" s="5"/>
      <c r="E53" s="5"/>
      <c r="F53" s="5" t="str">
        <f>'2'!T10</f>
        <v>0</v>
      </c>
      <c r="G53" s="88" t="str">
        <f>'2'!T8</f>
        <v>0</v>
      </c>
      <c r="H53" s="5"/>
      <c r="I53" s="88" t="str">
        <f>'2'!T46</f>
        <v>0</v>
      </c>
      <c r="J53" s="88" t="str">
        <f>'2'!T44</f>
        <v>0</v>
      </c>
      <c r="K53" s="89" t="str">
        <f>'2'!T47</f>
        <v>0</v>
      </c>
      <c r="L53" s="3"/>
    </row>
    <row r="54" spans="1:14" customHeight="1" ht="18">
      <c r="B54" s="91">
        <v>19</v>
      </c>
      <c r="C54" s="5" t="s">
        <v>67</v>
      </c>
      <c r="D54" s="5"/>
      <c r="E54" s="5"/>
      <c r="F54" s="5" t="str">
        <f>'2'!U10</f>
        <v>0</v>
      </c>
      <c r="G54" s="88" t="str">
        <f>'2'!U8</f>
        <v>0</v>
      </c>
      <c r="H54" s="5"/>
      <c r="I54" s="88" t="str">
        <f>'2'!U46</f>
        <v>0</v>
      </c>
      <c r="J54" s="88" t="str">
        <f>'2'!U44</f>
        <v>0</v>
      </c>
      <c r="K54" s="89" t="str">
        <f>'2'!U47</f>
        <v>0</v>
      </c>
      <c r="L54" s="3"/>
    </row>
    <row r="55" spans="1:14" customHeight="1" ht="18">
      <c r="B55" s="93" t="s">
        <v>36</v>
      </c>
      <c r="C55" s="92"/>
      <c r="D55" s="92"/>
      <c r="E55" s="92"/>
      <c r="F55" s="93" t="str">
        <f>SUM(F36:F54)</f>
        <v>0</v>
      </c>
      <c r="G55" s="64"/>
      <c r="H55" s="64"/>
      <c r="I55" s="64"/>
      <c r="J55" s="94" t="str">
        <f>SUM(J36:J54)</f>
        <v>0</v>
      </c>
      <c r="K55" s="64"/>
      <c r="L55" s="64"/>
    </row>
    <row r="56" spans="1:14" customHeight="1" ht="18">
      <c r="B5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56" s="64"/>
      <c r="D56" s="64"/>
      <c r="E56" s="64"/>
      <c r="F56" s="64"/>
      <c r="G56" s="64"/>
      <c r="H56" s="64"/>
      <c r="I56" s="64"/>
      <c r="J56" s="64"/>
      <c r="K56" s="64"/>
      <c r="L56" s="64"/>
    </row>
    <row r="57" spans="1:14" customHeight="1" ht="18">
      <c r="B5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57" s="64"/>
      <c r="D57" s="64"/>
      <c r="E57" s="64"/>
      <c r="F57" s="64"/>
      <c r="G57" s="64"/>
      <c r="H57" s="64"/>
      <c r="I57" s="64"/>
      <c r="J57" s="64"/>
      <c r="K57" s="64"/>
      <c r="L57" s="64"/>
    </row>
    <row r="58" spans="1:14" customHeight="1" ht="18">
      <c r="B58" s="64" t="s">
        <v>70</v>
      </c>
      <c r="C58" s="64"/>
      <c r="D58" s="64"/>
      <c r="E58" s="64"/>
      <c r="F58" s="64"/>
      <c r="G58" s="64"/>
      <c r="H58" s="64"/>
      <c r="I58" s="64"/>
      <c r="J58" s="64"/>
      <c r="K58" s="64"/>
      <c r="L58" s="64"/>
    </row>
    <row r="59" spans="1:14" customHeight="1" ht="18">
      <c r="B5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59" s="64"/>
      <c r="D59" s="64"/>
      <c r="E59" s="64"/>
      <c r="F59" s="64"/>
      <c r="G59" s="64"/>
      <c r="H59" s="64"/>
      <c r="I59" s="64"/>
      <c r="J59" s="64"/>
      <c r="K59" s="64"/>
      <c r="L59" s="64"/>
    </row>
    <row r="60" spans="1:14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</row>
    <row r="61" spans="1:14" customHeight="1" ht="9">
      <c r="B61" s="38"/>
      <c r="C61" s="38"/>
      <c r="E61" s="38"/>
      <c r="F61" s="38"/>
      <c r="G61" s="38"/>
      <c r="H61" s="38"/>
      <c r="I61" s="38"/>
      <c r="J61" s="38"/>
      <c r="K61" s="38"/>
      <c r="L61" s="38"/>
      <c r="M61" s="38"/>
    </row>
    <row r="62" spans="1:14" customHeight="1" ht="31.8">
      <c r="B62" s="38"/>
      <c r="C62" s="38"/>
      <c r="D62" s="37" t="s">
        <v>0</v>
      </c>
      <c r="E62" s="37"/>
      <c r="F62" s="37"/>
      <c r="G62" s="37"/>
      <c r="H62" s="37"/>
      <c r="I62" s="37"/>
      <c r="J62" s="37"/>
      <c r="K62" s="37"/>
      <c r="L62" s="37"/>
      <c r="M62" s="37"/>
    </row>
    <row r="63" spans="1:14" customHeight="1" ht="21">
      <c r="B63" s="38"/>
      <c r="C63" s="38"/>
      <c r="D63" s="53" t="s">
        <v>72</v>
      </c>
      <c r="E63" s="53"/>
      <c r="F63" s="53"/>
      <c r="G63" s="53"/>
      <c r="H63" s="53"/>
      <c r="I63" s="53"/>
    </row>
    <row r="64" spans="1:14">
      <c r="B64" s="38"/>
      <c r="C64" s="38"/>
    </row>
    <row r="65" spans="1:14">
      <c r="B65" s="38"/>
      <c r="C65" s="38"/>
    </row>
    <row r="66" spans="1:14" customHeight="1" ht="21">
      <c r="B66" s="70" t="s">
        <v>73</v>
      </c>
      <c r="C66" s="70"/>
      <c r="D66" s="70"/>
      <c r="E66" s="70"/>
      <c r="F66" s="70"/>
      <c r="G66" s="70"/>
      <c r="H66" s="70"/>
      <c r="I66" s="70"/>
      <c r="J66" s="70"/>
      <c r="K66" s="70"/>
      <c r="L66" s="70"/>
    </row>
    <row r="68" spans="1:14">
      <c r="B68" s="71" t="s">
        <v>74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75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49" t="s">
        <v>76</v>
      </c>
      <c r="C70" s="49"/>
      <c r="D70" s="49"/>
      <c r="E70" s="49"/>
      <c r="F70" s="49"/>
      <c r="G70" s="49"/>
      <c r="H70" s="49"/>
      <c r="I70" s="49"/>
      <c r="J70" s="49"/>
      <c r="K70" s="49"/>
      <c r="L70" s="49"/>
    </row>
    <row r="71" spans="1:14">
      <c r="B71" s="71" t="s">
        <v>77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78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49" t="s">
        <v>79</v>
      </c>
      <c r="C73" s="49"/>
      <c r="D73" s="49"/>
      <c r="E73" s="49"/>
      <c r="F73" s="49"/>
      <c r="G73" s="49"/>
      <c r="H73" s="49"/>
      <c r="I73" s="49"/>
      <c r="J73" s="49"/>
      <c r="K73" s="49"/>
      <c r="L73" s="49"/>
    </row>
    <row r="74" spans="1:14">
      <c r="B74" s="71" t="s">
        <v>80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71" t="s">
        <v>83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67" t="s">
        <v>91</v>
      </c>
      <c r="C85" s="67"/>
      <c r="D85" s="67"/>
      <c r="E85" s="67"/>
      <c r="F85" s="67"/>
      <c r="G85" s="67"/>
      <c r="H85" s="67"/>
      <c r="I85" s="67"/>
      <c r="J85" s="67"/>
      <c r="K85" s="67"/>
      <c r="L85" s="67"/>
    </row>
    <row r="86" spans="1:14">
      <c r="B86" s="71" t="s">
        <v>92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67" t="s">
        <v>93</v>
      </c>
      <c r="C87" s="67"/>
      <c r="D87" s="67"/>
      <c r="E87" s="67"/>
      <c r="F87" s="67"/>
      <c r="G87" s="67"/>
      <c r="H87" s="67"/>
      <c r="I87" s="67"/>
      <c r="J87" s="67"/>
      <c r="K87" s="67"/>
      <c r="L87" s="67"/>
    </row>
    <row r="88" spans="1:14">
      <c r="B88" s="71" t="s">
        <v>94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95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s">
        <v>96</v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71" t="s">
        <v>97</v>
      </c>
      <c r="C91" s="71"/>
      <c r="D91" s="71"/>
      <c r="E91" s="71"/>
      <c r="F91" s="71"/>
      <c r="G91" s="71"/>
      <c r="H91" s="71"/>
      <c r="I91" s="71"/>
      <c r="J91" s="71"/>
      <c r="K91" s="71"/>
      <c r="L91" s="71"/>
    </row>
    <row r="92" spans="1:14">
      <c r="B92" s="71" t="s">
        <v>98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spans="1:14">
      <c r="A93" s="32"/>
      <c r="B93" s="72" t="s">
        <v>99</v>
      </c>
      <c r="C93" s="72"/>
      <c r="D93" s="72"/>
      <c r="E93" s="72"/>
      <c r="F93" s="72"/>
      <c r="G93" s="72"/>
      <c r="H93" s="72"/>
      <c r="I93" s="72"/>
      <c r="J93" s="72"/>
      <c r="K93" s="72"/>
      <c r="L93" s="72"/>
    </row>
    <row r="94" spans="1:14">
      <c r="A94" s="32"/>
      <c r="B94" s="71" t="s">
        <v>100</v>
      </c>
      <c r="C94" s="71"/>
      <c r="D94" s="71"/>
      <c r="E94" s="71"/>
      <c r="F94" s="71"/>
      <c r="G94" s="71"/>
      <c r="H94" s="71"/>
      <c r="I94" s="71"/>
      <c r="J94" s="71"/>
      <c r="K94" s="71"/>
      <c r="L94" s="71"/>
    </row>
    <row r="95" spans="1:14">
      <c r="A95" s="32"/>
      <c r="B95" s="72" t="s">
        <v>101</v>
      </c>
      <c r="C95" s="72"/>
      <c r="D95" s="72"/>
      <c r="E95" s="72"/>
      <c r="F95" s="72"/>
      <c r="G95" s="72"/>
      <c r="H95" s="72"/>
      <c r="I95" s="72"/>
      <c r="J95" s="72"/>
      <c r="K95" s="72"/>
      <c r="L95" s="72"/>
    </row>
    <row r="97" spans="1:14">
      <c r="C97" s="38"/>
      <c r="D97" s="38"/>
      <c r="E97" s="38"/>
      <c r="F97" s="38"/>
      <c r="G97" s="38"/>
      <c r="H97" s="38"/>
      <c r="I97" s="38"/>
    </row>
    <row r="98" spans="1:14">
      <c r="C98" s="38"/>
      <c r="D98" s="38"/>
      <c r="E98" s="38"/>
      <c r="F98" s="38"/>
      <c r="G98" s="38"/>
      <c r="H98" s="38"/>
      <c r="I98" s="38"/>
    </row>
    <row r="99" spans="1:14">
      <c r="C99" s="38"/>
      <c r="D99" s="38"/>
      <c r="E99" s="38"/>
      <c r="F99" s="38"/>
      <c r="G99" s="38"/>
      <c r="H99" s="38"/>
      <c r="I99" s="38"/>
    </row>
    <row r="100" spans="1:14">
      <c r="C100" s="38"/>
      <c r="D100" s="38"/>
      <c r="E100" s="38"/>
      <c r="F100" s="38"/>
      <c r="G100" s="38"/>
      <c r="H100" s="38"/>
      <c r="I100" s="38"/>
    </row>
    <row r="101" spans="1:14">
      <c r="C101" s="38"/>
      <c r="D101" s="38"/>
      <c r="E101" s="38"/>
      <c r="F101" s="38"/>
      <c r="G101" s="38"/>
      <c r="H101" s="38"/>
      <c r="I101" s="38"/>
    </row>
    <row r="102" spans="1:14">
      <c r="C102" s="38"/>
      <c r="D102" s="38"/>
      <c r="E102" s="38"/>
      <c r="F102" s="38"/>
      <c r="G102" s="38"/>
      <c r="H102" s="38"/>
      <c r="I102" s="38"/>
    </row>
    <row r="103" spans="1:14">
      <c r="C103" s="38"/>
      <c r="D103" s="38"/>
      <c r="E103" s="38"/>
      <c r="F103" s="38"/>
      <c r="G103" s="38"/>
      <c r="H103" s="38"/>
      <c r="I103" s="38"/>
    </row>
    <row r="104" spans="1:14" customHeight="1" ht="15.6">
      <c r="C104" s="38"/>
      <c r="D104" s="38"/>
      <c r="E104" s="38"/>
      <c r="F104" s="38"/>
      <c r="G104" s="38"/>
      <c r="H104" s="38"/>
      <c r="I104" s="38"/>
    </row>
    <row r="105" spans="1:14" customHeight="1" ht="15.6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1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85:L85"/>
    <mergeCell ref="B86:L86"/>
    <mergeCell ref="A7:C7"/>
    <mergeCell ref="I7:L7"/>
    <mergeCell ref="B70:L70"/>
    <mergeCell ref="B59:L59"/>
    <mergeCell ref="C38:E38"/>
    <mergeCell ref="K38:L38"/>
    <mergeCell ref="B68:L68"/>
    <mergeCell ref="B81:L81"/>
    <mergeCell ref="B69:L69"/>
    <mergeCell ref="G37:H37"/>
    <mergeCell ref="J11:L11"/>
    <mergeCell ref="B95:L95"/>
    <mergeCell ref="B78:L78"/>
    <mergeCell ref="B79:L79"/>
    <mergeCell ref="B80:L80"/>
    <mergeCell ref="B71:L71"/>
    <mergeCell ref="B72:L72"/>
    <mergeCell ref="B73:L73"/>
    <mergeCell ref="B74:L74"/>
    <mergeCell ref="B75:L75"/>
    <mergeCell ref="B76:L76"/>
    <mergeCell ref="B77:L77"/>
    <mergeCell ref="B82:L82"/>
    <mergeCell ref="B83:L83"/>
    <mergeCell ref="B84:L84"/>
    <mergeCell ref="B94:L94"/>
    <mergeCell ref="B93:L93"/>
    <mergeCell ref="B92:L92"/>
    <mergeCell ref="B87:L87"/>
    <mergeCell ref="B88:L88"/>
    <mergeCell ref="B89:L89"/>
    <mergeCell ref="B90:L90"/>
    <mergeCell ref="B91:L91"/>
    <mergeCell ref="B61:C65"/>
    <mergeCell ref="B19:F19"/>
    <mergeCell ref="C35:E35"/>
    <mergeCell ref="B66:L66"/>
    <mergeCell ref="B57:L57"/>
    <mergeCell ref="G38:H38"/>
    <mergeCell ref="K37:L37"/>
    <mergeCell ref="C37:E37"/>
    <mergeCell ref="B27:I27"/>
    <mergeCell ref="B23:I23"/>
    <mergeCell ref="B20:I20"/>
    <mergeCell ref="B21:I21"/>
    <mergeCell ref="B22:I22"/>
    <mergeCell ref="D62:J62"/>
    <mergeCell ref="B31:J31"/>
    <mergeCell ref="B26:I26"/>
    <mergeCell ref="B12:L12"/>
    <mergeCell ref="B13:J13"/>
    <mergeCell ref="B14:J14"/>
    <mergeCell ref="B16:J16"/>
    <mergeCell ref="B15:J15"/>
    <mergeCell ref="C97:I106"/>
    <mergeCell ref="A1:L1"/>
    <mergeCell ref="E2:L2"/>
    <mergeCell ref="D63:I6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58:L58"/>
    <mergeCell ref="B56:L56"/>
    <mergeCell ref="F11:G11"/>
    <mergeCell ref="K62:M62"/>
    <mergeCell ref="E61:M6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B55:E5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47"/>
  <sheetViews>
    <sheetView tabSelected="0" workbookViewId="0" showGridLines="true" showRowColHeaders="1">
      <selection activeCell="V44" sqref="V44"/>
    </sheetView>
  </sheetViews>
  <sheetFormatPr defaultRowHeight="14.4" outlineLevelRow="0" outlineLevelCol="0"/>
  <cols>
    <col min="2" max="2" width="24.708252" bestFit="true" customWidth="true" style="0"/>
    <col min="3" max="3" width="37.705078" bestFit="true" customWidth="true" style="0"/>
    <col min="4" max="4" width="22.280273" bestFit="true" customWidth="true" style="0"/>
    <col min="5" max="5" width="32.991943" bestFit="true" customWidth="true" style="0"/>
    <col min="6" max="6" width="22.280273" bestFit="true" customWidth="true" style="0"/>
    <col min="7" max="7" width="24.708252" bestFit="true" customWidth="true" style="0"/>
    <col min="8" max="8" width="32.991943" bestFit="true" customWidth="true" style="0"/>
    <col min="9" max="9" width="38.847656" bestFit="true" customWidth="true" style="0"/>
    <col min="10" max="10" width="38.847656" bestFit="true" customWidth="true" style="0"/>
    <col min="11" max="11" width="45.845947" bestFit="true" customWidth="true" style="0"/>
    <col min="12" max="12" width="49.416504" bestFit="true" customWidth="true" style="0"/>
    <col min="13" max="13" width="36.419678" bestFit="true" customWidth="true" style="0"/>
    <col min="14" max="14" width="22.280273" bestFit="true" customWidth="true" style="0"/>
    <col min="15" max="15" width="34.134521" bestFit="true" customWidth="true" style="0"/>
    <col min="16" max="16" width="47.131348" bestFit="true" customWidth="true" style="0"/>
    <col min="17" max="17" width="34.134521" bestFit="true" customWidth="true" style="0"/>
    <col min="18" max="18" width="52.987061" bestFit="true" customWidth="true" style="0"/>
    <col min="19" max="19" width="49.416504" bestFit="true" customWidth="true" style="0"/>
    <col min="20" max="20" width="34.134521" bestFit="true" customWidth="true" style="0"/>
    <col min="21" max="21" width="39.990234" bestFit="true" customWidth="true" style="0"/>
    <col min="22" max="22" width="13.996582" bestFit="true" customWidth="true" style="0"/>
  </cols>
  <sheetData>
    <row r="3" spans="1:26">
      <c r="B3" s="75" t="s">
        <v>102</v>
      </c>
      <c r="C3" s="74"/>
      <c r="D3" s="74"/>
      <c r="E3" s="74"/>
      <c r="F3" s="74"/>
      <c r="G3" s="74"/>
    </row>
    <row r="5" spans="1:26">
      <c r="B5" s="78" t="s">
        <v>103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56</v>
      </c>
      <c r="K5" s="80" t="s">
        <v>57</v>
      </c>
      <c r="L5" s="80" t="s">
        <v>58</v>
      </c>
      <c r="M5" s="80" t="s">
        <v>59</v>
      </c>
      <c r="N5" s="80" t="s">
        <v>60</v>
      </c>
      <c r="O5" s="80" t="s">
        <v>61</v>
      </c>
      <c r="P5" s="80" t="s">
        <v>62</v>
      </c>
      <c r="Q5" s="80" t="s">
        <v>63</v>
      </c>
      <c r="R5" s="80" t="s">
        <v>64</v>
      </c>
      <c r="S5" s="80" t="s">
        <v>65</v>
      </c>
      <c r="T5" s="80" t="s">
        <v>66</v>
      </c>
      <c r="U5" s="80" t="s">
        <v>67</v>
      </c>
      <c r="V5" s="80" t="s">
        <v>104</v>
      </c>
    </row>
    <row r="6" spans="1:26">
      <c r="B6" s="74" t="s">
        <v>105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82">
        <v>0</v>
      </c>
      <c r="Y6" s="76" t="s">
        <v>106</v>
      </c>
      <c r="Z6" s="76" t="s">
        <v>107</v>
      </c>
    </row>
    <row r="7" spans="1:26">
      <c r="B7" s="74" t="s">
        <v>108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83">
        <v>3</v>
      </c>
      <c r="Y7" s="77" t="s">
        <v>13</v>
      </c>
      <c r="Z7" s="77">
        <v>350</v>
      </c>
    </row>
    <row r="8" spans="1:26">
      <c r="B8" s="74" t="s">
        <v>109</v>
      </c>
      <c r="C8" s="81">
        <v>0.46</v>
      </c>
      <c r="D8" s="81">
        <v>5.9</v>
      </c>
      <c r="E8" s="81">
        <v>40</v>
      </c>
      <c r="F8" s="81">
        <v>0.5</v>
      </c>
      <c r="G8" s="81">
        <v>0.6</v>
      </c>
      <c r="H8" s="81">
        <v>0.3</v>
      </c>
      <c r="I8" s="81">
        <v>7.2</v>
      </c>
      <c r="J8" s="81">
        <v>10</v>
      </c>
      <c r="K8" s="81">
        <v>31.21</v>
      </c>
      <c r="L8" s="81">
        <v>43.8</v>
      </c>
      <c r="M8" s="81">
        <v>8</v>
      </c>
      <c r="N8" s="81">
        <v>1.2</v>
      </c>
      <c r="O8" s="81">
        <v>3.7555555555556</v>
      </c>
      <c r="P8" s="81">
        <v>1.8</v>
      </c>
      <c r="Q8" s="81">
        <v>1.5</v>
      </c>
      <c r="R8" s="81">
        <v>3.5</v>
      </c>
      <c r="S8" s="81">
        <v>13.6</v>
      </c>
      <c r="T8" s="81">
        <v>3</v>
      </c>
      <c r="U8" s="81">
        <v>0.4</v>
      </c>
      <c r="V8" s="74"/>
    </row>
    <row r="9" spans="1:26">
      <c r="B9" s="79" t="s">
        <v>110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74"/>
    </row>
    <row r="10" spans="1:26">
      <c r="B10" s="74" t="s">
        <v>111</v>
      </c>
      <c r="C10" s="74">
        <v>400</v>
      </c>
      <c r="D10" s="74">
        <v>50</v>
      </c>
      <c r="E10" s="74">
        <v>10</v>
      </c>
      <c r="F10" s="74">
        <v>1000</v>
      </c>
      <c r="G10" s="74">
        <v>2000</v>
      </c>
      <c r="H10" s="74">
        <v>500</v>
      </c>
      <c r="I10" s="74">
        <v>500</v>
      </c>
      <c r="J10" s="74">
        <v>500</v>
      </c>
      <c r="K10" s="74">
        <v>20</v>
      </c>
      <c r="L10" s="74">
        <v>21</v>
      </c>
      <c r="M10" s="74">
        <v>1000</v>
      </c>
      <c r="N10" s="74">
        <v>1000</v>
      </c>
      <c r="O10" s="74">
        <v>450</v>
      </c>
      <c r="P10" s="74">
        <v>50</v>
      </c>
      <c r="Q10" s="74">
        <v>100</v>
      </c>
      <c r="R10" s="74">
        <v>20</v>
      </c>
      <c r="S10" s="74">
        <v>30</v>
      </c>
      <c r="T10" s="74">
        <v>50</v>
      </c>
      <c r="U10" s="74">
        <v>100</v>
      </c>
      <c r="V10" s="74" t="str">
        <f>SUM(C10:U10)</f>
        <v>0</v>
      </c>
    </row>
    <row r="11" spans="1:26">
      <c r="B11" s="74" t="s">
        <v>112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6" t="str">
        <f>SUM(C11:U11)</f>
        <v>0</v>
      </c>
    </row>
    <row r="12" spans="1:26">
      <c r="B12" s="79" t="s">
        <v>113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6" t="str">
        <f>SUM(C12:U12)</f>
        <v>0</v>
      </c>
    </row>
    <row r="13" spans="1:26">
      <c r="B13" s="74" t="s">
        <v>114</v>
      </c>
      <c r="C13" s="84" t="str">
        <f>C11/V11</f>
        <v>0</v>
      </c>
      <c r="D13" s="84" t="str">
        <f>D11/V11</f>
        <v>0</v>
      </c>
      <c r="E13" s="84" t="str">
        <f>E11/V11</f>
        <v>0</v>
      </c>
      <c r="F13" s="84" t="str">
        <f>F11/V11</f>
        <v>0</v>
      </c>
      <c r="G13" s="84" t="str">
        <f>G11/V11</f>
        <v>0</v>
      </c>
      <c r="H13" s="84" t="str">
        <f>H11/V11</f>
        <v>0</v>
      </c>
      <c r="I13" s="84" t="str">
        <f>I11/V11</f>
        <v>0</v>
      </c>
      <c r="J13" s="84" t="str">
        <f>J11/V11</f>
        <v>0</v>
      </c>
      <c r="K13" s="84" t="str">
        <f>K11/V11</f>
        <v>0</v>
      </c>
      <c r="L13" s="84" t="str">
        <f>L11/V11</f>
        <v>0</v>
      </c>
      <c r="M13" s="84" t="str">
        <f>M11/V11</f>
        <v>0</v>
      </c>
      <c r="N13" s="84" t="str">
        <f>N11/V11</f>
        <v>0</v>
      </c>
      <c r="O13" s="84" t="str">
        <f>O11/V11</f>
        <v>0</v>
      </c>
      <c r="P13" s="84" t="str">
        <f>P11/V11</f>
        <v>0</v>
      </c>
      <c r="Q13" s="84" t="str">
        <f>Q11/V11</f>
        <v>0</v>
      </c>
      <c r="R13" s="84" t="str">
        <f>R11/V11</f>
        <v>0</v>
      </c>
      <c r="S13" s="84" t="str">
        <f>S11/V11</f>
        <v>0</v>
      </c>
      <c r="T13" s="84" t="str">
        <f>T11/V11</f>
        <v>0</v>
      </c>
      <c r="U13" s="84" t="str">
        <f>U11/V11</f>
        <v>0</v>
      </c>
      <c r="V13" s="74"/>
    </row>
    <row r="14" spans="1:26">
      <c r="B14" s="74" t="s">
        <v>115</v>
      </c>
      <c r="C14" s="81" t="str">
        <f>ROUNDUP(V14*C13,2)</f>
        <v>0</v>
      </c>
      <c r="D14" s="81" t="str">
        <f>ROUNDUP(V14*D13,2)</f>
        <v>0</v>
      </c>
      <c r="E14" s="81" t="str">
        <f>ROUNDUP(V14*E13,2)</f>
        <v>0</v>
      </c>
      <c r="F14" s="81" t="str">
        <f>ROUNDUP(V14*F13,2)</f>
        <v>0</v>
      </c>
      <c r="G14" s="81" t="str">
        <f>ROUNDUP(V14*G13,2)</f>
        <v>0</v>
      </c>
      <c r="H14" s="81" t="str">
        <f>ROUNDUP(V14*H13,2)</f>
        <v>0</v>
      </c>
      <c r="I14" s="81" t="str">
        <f>ROUNDUP(V14*I13,2)</f>
        <v>0</v>
      </c>
      <c r="J14" s="81" t="str">
        <f>ROUNDUP(V14*J13,2)</f>
        <v>0</v>
      </c>
      <c r="K14" s="81" t="str">
        <f>ROUNDUP(V14*K13,2)</f>
        <v>0</v>
      </c>
      <c r="L14" s="81" t="str">
        <f>ROUNDUP(V14*L13,2)</f>
        <v>0</v>
      </c>
      <c r="M14" s="81" t="str">
        <f>ROUNDUP(V14*M13,2)</f>
        <v>0</v>
      </c>
      <c r="N14" s="81" t="str">
        <f>ROUNDUP(V14*N13,2)</f>
        <v>0</v>
      </c>
      <c r="O14" s="81" t="str">
        <f>ROUNDUP(V14*O13,2)</f>
        <v>0</v>
      </c>
      <c r="P14" s="81" t="str">
        <f>ROUNDUP(V14*P13,2)</f>
        <v>0</v>
      </c>
      <c r="Q14" s="81" t="str">
        <f>ROUNDUP(V14*Q13,2)</f>
        <v>0</v>
      </c>
      <c r="R14" s="81" t="str">
        <f>ROUNDUP(V14*R13,2)</f>
        <v>0</v>
      </c>
      <c r="S14" s="81" t="str">
        <f>ROUNDUP(V14*S13,2)</f>
        <v>0</v>
      </c>
      <c r="T14" s="81" t="str">
        <f>ROUNDUP(V14*T13,2)</f>
        <v>0</v>
      </c>
      <c r="U14" s="81" t="str">
        <f>ROUNDUP(V14*U13,2)</f>
        <v>0</v>
      </c>
      <c r="V14" s="86" t="str">
        <f>IF(V7&lt;1, ROUNDUP(Z7*0.6, 0), ROUNDUP(Z7*0.6*V7, 0))</f>
        <v>0</v>
      </c>
    </row>
    <row r="15" spans="1:26">
      <c r="B15" s="74" t="s">
        <v>116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6" t="str">
        <f>SUM(C15:U15)</f>
        <v>0</v>
      </c>
    </row>
    <row r="16" spans="1:26">
      <c r="B16" s="79" t="s">
        <v>117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6" t="str">
        <f>SUM(C16:U16)</f>
        <v>0</v>
      </c>
    </row>
    <row r="17" spans="1:26">
      <c r="B17" s="74" t="s">
        <v>118</v>
      </c>
      <c r="C17" s="81" t="str">
        <f>IF(V15&gt;5000,ROUND(100*C13,2),ROUND(50*C13,2))</f>
        <v>0</v>
      </c>
      <c r="D17" s="81" t="str">
        <f>IF(V15&gt;5000,ROUND(100*D13,2),ROUND(50*D13,2))</f>
        <v>0</v>
      </c>
      <c r="E17" s="81" t="str">
        <f>IF(V15&gt;5000,ROUND(100*E13,2),ROUND(50*E13,2))</f>
        <v>0</v>
      </c>
      <c r="F17" s="81" t="str">
        <f>IF(V15&gt;5000,ROUND(100*F13,2),ROUND(50*F13,2))</f>
        <v>0</v>
      </c>
      <c r="G17" s="81" t="str">
        <f>IF(V15&gt;5000,ROUND(100*G13,2),ROUND(50*G13,2))</f>
        <v>0</v>
      </c>
      <c r="H17" s="81" t="str">
        <f>IF(V15&gt;5000,ROUND(100*H13,2),ROUND(50*H13,2))</f>
        <v>0</v>
      </c>
      <c r="I17" s="81" t="str">
        <f>IF(V15&gt;5000,ROUND(100*I13,2),ROUND(50*I13,2))</f>
        <v>0</v>
      </c>
      <c r="J17" s="81" t="str">
        <f>IF(V15&gt;5000,ROUND(100*J13,2),ROUND(50*J13,2))</f>
        <v>0</v>
      </c>
      <c r="K17" s="81" t="str">
        <f>IF(V15&gt;5000,ROUND(100*K13,2),ROUND(50*K13,2))</f>
        <v>0</v>
      </c>
      <c r="L17" s="81" t="str">
        <f>IF(V15&gt;5000,ROUND(100*L13,2),ROUND(50*L13,2))</f>
        <v>0</v>
      </c>
      <c r="M17" s="81" t="str">
        <f>IF(V15&gt;5000,ROUND(100*M13,2),ROUND(50*M13,2))</f>
        <v>0</v>
      </c>
      <c r="N17" s="81" t="str">
        <f>IF(V15&gt;5000,ROUND(100*N13,2),ROUND(50*N13,2))</f>
        <v>0</v>
      </c>
      <c r="O17" s="81" t="str">
        <f>IF(V15&gt;5000,ROUND(100*O13,2),ROUND(50*O13,2))</f>
        <v>0</v>
      </c>
      <c r="P17" s="81" t="str">
        <f>IF(V15&gt;5000,ROUND(100*P13,2),ROUND(50*P13,2))</f>
        <v>0</v>
      </c>
      <c r="Q17" s="81" t="str">
        <f>IF(V15&gt;5000,ROUND(100*Q13,2),ROUND(50*Q13,2))</f>
        <v>0</v>
      </c>
      <c r="R17" s="81" t="str">
        <f>IF(V15&gt;5000,ROUND(100*R13,2),ROUND(50*R13,2))</f>
        <v>0</v>
      </c>
      <c r="S17" s="81" t="str">
        <f>IF(V15&gt;5000,ROUND(100*S13,2),ROUND(50*S13,2))</f>
        <v>0</v>
      </c>
      <c r="T17" s="81" t="str">
        <f>IF(V15&gt;5000,ROUND(100*T13,2),ROUND(50*T13,2))</f>
        <v>0</v>
      </c>
      <c r="U17" s="81" t="str">
        <f>IF(V15&gt;5000,ROUND(100*U13,2),ROUND(50*U13,2))</f>
        <v>0</v>
      </c>
      <c r="V17" s="86" t="str">
        <f>SUM(C17:U17)</f>
        <v>0</v>
      </c>
    </row>
    <row r="18" spans="1:26">
      <c r="B18" s="74" t="s">
        <v>119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6" t="str">
        <f>SUM(C18:U18)</f>
        <v>0</v>
      </c>
    </row>
    <row r="19" spans="1:26">
      <c r="B19" s="79" t="s">
        <v>120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6" t="str">
        <f>SUM(C19:U19)</f>
        <v>0</v>
      </c>
    </row>
    <row r="23" spans="1:26">
      <c r="B23" s="75" t="s">
        <v>121</v>
      </c>
      <c r="C23" s="74"/>
      <c r="D23" s="74"/>
      <c r="E23" s="74"/>
    </row>
    <row r="26" spans="1:26">
      <c r="B26" s="74" t="s">
        <v>122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 t="str">
        <f>SUM(C26:U26)</f>
        <v>0</v>
      </c>
    </row>
    <row r="27" spans="1:26">
      <c r="C27" s="87">
        <v>0</v>
      </c>
      <c r="D27" s="87">
        <v>0.0063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4" t="str">
        <f>SUM(C27:U27)</f>
        <v>0</v>
      </c>
    </row>
    <row r="28" spans="1:26">
      <c r="B28" s="74" t="s">
        <v>123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SUM(C28:U28)</f>
        <v>0</v>
      </c>
    </row>
    <row r="29" spans="1:26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SUM(C29:U29)</f>
        <v>0</v>
      </c>
    </row>
    <row r="30" spans="1:26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SUM(C30:U30)</f>
        <v>0</v>
      </c>
    </row>
    <row r="31" spans="1:26">
      <c r="B31" s="74" t="s">
        <v>124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SUM(C31:U31)</f>
        <v>0</v>
      </c>
    </row>
    <row r="32" spans="1:26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</row>
    <row r="37" spans="1:26">
      <c r="B37" s="75" t="s">
        <v>125</v>
      </c>
      <c r="C37" s="74"/>
      <c r="D37" s="74"/>
      <c r="E37" s="74"/>
    </row>
    <row r="40" spans="1:26">
      <c r="B40" s="74" t="s">
        <v>126</v>
      </c>
      <c r="C40" s="81" t="str">
        <f>C13*V40</f>
        <v>0</v>
      </c>
      <c r="D40" s="81" t="str">
        <f>D13*V40</f>
        <v>0</v>
      </c>
      <c r="E40" s="81" t="str">
        <f>E13*V40</f>
        <v>0</v>
      </c>
      <c r="F40" s="81" t="str">
        <f>F13*V40</f>
        <v>0</v>
      </c>
      <c r="G40" s="81" t="str">
        <f>G13*V40</f>
        <v>0</v>
      </c>
      <c r="H40" s="81" t="str">
        <f>H13*V40</f>
        <v>0</v>
      </c>
      <c r="I40" s="81" t="str">
        <f>I13*V40</f>
        <v>0</v>
      </c>
      <c r="J40" s="81" t="str">
        <f>J13*V40</f>
        <v>0</v>
      </c>
      <c r="K40" s="81" t="str">
        <f>K13*V40</f>
        <v>0</v>
      </c>
      <c r="L40" s="81" t="str">
        <f>L13*V40</f>
        <v>0</v>
      </c>
      <c r="M40" s="81" t="str">
        <f>M13*V40</f>
        <v>0</v>
      </c>
      <c r="N40" s="81" t="str">
        <f>N13*V40</f>
        <v>0</v>
      </c>
      <c r="O40" s="81" t="str">
        <f>O13*V40</f>
        <v>0</v>
      </c>
      <c r="P40" s="81" t="str">
        <f>P13*V40</f>
        <v>0</v>
      </c>
      <c r="Q40" s="81" t="str">
        <f>Q13*V40</f>
        <v>0</v>
      </c>
      <c r="R40" s="81" t="str">
        <f>R13*V40</f>
        <v>0</v>
      </c>
      <c r="S40" s="81" t="str">
        <f>S13*V40</f>
        <v>0</v>
      </c>
      <c r="T40" s="81" t="str">
        <f>T13*V40</f>
        <v>0</v>
      </c>
      <c r="U40" s="81" t="str">
        <f>U13*V40</f>
        <v>0</v>
      </c>
      <c r="V40" s="81" t="str">
        <f>IF(V7&lt;1, ROUNDUP(Z7*0.4, 0), ROUNDUP(Z7*0.4*V7, 0))</f>
        <v>0</v>
      </c>
    </row>
    <row r="41" spans="1:26">
      <c r="B41"/>
    </row>
    <row r="43" spans="1:26">
      <c r="B43" s="74" t="s">
        <v>126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56</v>
      </c>
      <c r="K43" s="74" t="s">
        <v>57</v>
      </c>
      <c r="L43" s="74" t="s">
        <v>58</v>
      </c>
      <c r="M43" s="74" t="s">
        <v>59</v>
      </c>
      <c r="N43" s="74" t="s">
        <v>60</v>
      </c>
      <c r="O43" s="74" t="s">
        <v>61</v>
      </c>
      <c r="P43" s="74" t="s">
        <v>62</v>
      </c>
      <c r="Q43" s="74" t="s">
        <v>63</v>
      </c>
      <c r="R43" s="74" t="s">
        <v>64</v>
      </c>
      <c r="S43" s="74" t="s">
        <v>65</v>
      </c>
      <c r="T43" s="74" t="s">
        <v>66</v>
      </c>
      <c r="U43" s="74" t="s">
        <v>67</v>
      </c>
      <c r="V43" s="74" t="s">
        <v>104</v>
      </c>
    </row>
    <row r="44" spans="1:26">
      <c r="B44" s="74" t="s">
        <v>127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SUM(C44:U44)</f>
        <v>0</v>
      </c>
    </row>
    <row r="45" spans="1:26">
      <c r="B45" s="74" t="s">
        <v>45</v>
      </c>
      <c r="C45" s="74">
        <v>400</v>
      </c>
      <c r="D45" s="74">
        <v>50</v>
      </c>
      <c r="E45" s="74">
        <v>10</v>
      </c>
      <c r="F45" s="74">
        <v>1000</v>
      </c>
      <c r="G45" s="74">
        <v>2000</v>
      </c>
      <c r="H45" s="74">
        <v>500</v>
      </c>
      <c r="I45" s="74">
        <v>500</v>
      </c>
      <c r="J45" s="74">
        <v>500</v>
      </c>
      <c r="K45" s="74">
        <v>20</v>
      </c>
      <c r="L45" s="74">
        <v>21</v>
      </c>
      <c r="M45" s="74">
        <v>1000</v>
      </c>
      <c r="N45" s="74">
        <v>1000</v>
      </c>
      <c r="O45" s="74">
        <v>450</v>
      </c>
      <c r="P45" s="74">
        <v>50</v>
      </c>
      <c r="Q45" s="74">
        <v>100</v>
      </c>
      <c r="R45" s="74">
        <v>20</v>
      </c>
      <c r="S45" s="74">
        <v>30</v>
      </c>
      <c r="T45" s="74">
        <v>50</v>
      </c>
      <c r="U45" s="74">
        <v>100</v>
      </c>
      <c r="V45" s="74"/>
    </row>
    <row r="46" spans="1:26">
      <c r="B46" s="74" t="s">
        <v>128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74"/>
    </row>
    <row r="47" spans="1:26">
      <c r="B47" s="74" t="s">
        <v>129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