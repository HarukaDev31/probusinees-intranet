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'1'!$A$1:$M$115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<sst xmlns="http://schemas.openxmlformats.org/spreadsheetml/2006/main" uniqueCount="131">
  <si>
    <t>PRO MUNDO COMEX S.A.C.</t>
  </si>
  <si>
    <t xml:space="preserve">         RUC: 20612452432</t>
  </si>
  <si>
    <t>COTIZACION N002</t>
  </si>
  <si>
    <t>NOMBRE:</t>
  </si>
  <si>
    <t>JOSE SMITH</t>
  </si>
  <si>
    <t>SERVICIO:</t>
  </si>
  <si>
    <t>CARGA CONSOLIDADA</t>
  </si>
  <si>
    <t>N° CAJAS:</t>
  </si>
  <si>
    <t>APELLIDO:</t>
  </si>
  <si>
    <t>FECHA:</t>
  </si>
  <si>
    <t>PESO:</t>
  </si>
  <si>
    <t>338.4 Kg</t>
  </si>
  <si>
    <t>DNI/RUC:</t>
  </si>
  <si>
    <t>ORIGEN:</t>
  </si>
  <si>
    <t>CHINA</t>
  </si>
  <si>
    <t>MEDIDA:</t>
  </si>
  <si>
    <t>TELEFONO:</t>
  </si>
  <si>
    <t>51 906 118 935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</si>
  <si>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</si>
  <si>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</si>
  <si>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</si>
  <si>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</si>
  <si>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</si>
  <si>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</si>
  <si>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</si>
  <si>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</si>
  <si>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</si>
  <si>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</si>
  <si>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</si>
  <si>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</si>
  <si>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</si>
  <si>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JOSE SMITH 😁 un gusto saludarte!
        A continuación te envío la cotización final de tu importación📋📦.
        🙋‍♂️ PAGO PENDIENTE :
        ☑️Costo CBM: $0
        ☑️Impuestos: $5484.1
        ☑️ Total: $5484.1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</si>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</sst>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60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96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2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>
        <v>1234567</v>
      </c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 t="s">
        <v>17</v>
      </c>
      <c r="D11" s="35"/>
      <c r="E11" s="24" t="s">
        <v>18</v>
      </c>
      <c r="F11" s="48" t="s">
        <v>19</v>
      </c>
      <c r="G11" s="65"/>
      <c r="H11" s="33"/>
      <c r="I11" s="1" t="s">
        <v>20</v>
      </c>
      <c r="J11" s="95" t="str">
        <f>'2'!V7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21</v>
      </c>
      <c r="C13" s="66"/>
      <c r="D13" s="66"/>
      <c r="E13" s="66"/>
      <c r="F13" s="66"/>
      <c r="G13" s="66"/>
      <c r="H13" s="66"/>
      <c r="I13" s="66"/>
      <c r="J13" s="66"/>
      <c r="K13" s="10" t="s">
        <v>22</v>
      </c>
      <c r="L13" s="10" t="s">
        <v>23</v>
      </c>
    </row>
    <row r="14" spans="1:14">
      <c r="B14" s="67" t="s">
        <v>24</v>
      </c>
      <c r="C14" s="67"/>
      <c r="D14" s="67"/>
      <c r="E14" s="67"/>
      <c r="F14" s="67"/>
      <c r="G14" s="67"/>
      <c r="H14" s="67"/>
      <c r="I14" s="67"/>
      <c r="J14" s="67"/>
      <c r="K14" s="14" t="str">
        <f>'2'!V11</f>
        <v>0</v>
      </c>
      <c r="L14" s="9" t="s">
        <v>25</v>
      </c>
    </row>
    <row r="15" spans="1:14">
      <c r="B15" s="68" t="s">
        <v>26</v>
      </c>
      <c r="C15" s="68"/>
      <c r="D15" s="68"/>
      <c r="E15" s="68"/>
      <c r="F15" s="68"/>
      <c r="G15" s="68"/>
      <c r="H15" s="68"/>
      <c r="I15" s="68"/>
      <c r="J15" s="68"/>
      <c r="K15" s="15" t="str">
        <f>'2'!V14 + '2'!V17</f>
        <v>0</v>
      </c>
      <c r="L15" s="12" t="s">
        <v>25</v>
      </c>
    </row>
    <row r="16" spans="1:14">
      <c r="B16" s="51" t="s">
        <v>27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25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28</v>
      </c>
      <c r="C19" s="69"/>
      <c r="D19" s="69"/>
      <c r="E19" s="69"/>
      <c r="F19" s="69"/>
      <c r="G19" s="18"/>
      <c r="H19" s="18"/>
      <c r="I19" s="18"/>
      <c r="J19" s="10" t="s">
        <v>29</v>
      </c>
      <c r="K19" s="10" t="s">
        <v>22</v>
      </c>
      <c r="L19" s="10" t="s">
        <v>23</v>
      </c>
    </row>
    <row r="20" spans="1:14">
      <c r="B20" s="49" t="s">
        <v>30</v>
      </c>
      <c r="C20" s="49"/>
      <c r="D20" s="49"/>
      <c r="E20" s="49"/>
      <c r="F20" s="49"/>
      <c r="G20" s="49"/>
      <c r="H20" s="49"/>
      <c r="I20" s="49"/>
      <c r="J20" s="20" t="str">
        <f>MAX('2'!C27:U27)</f>
        <v>0</v>
      </c>
      <c r="K20" s="14" t="str">
        <f>'2'!V28</f>
        <v>0</v>
      </c>
      <c r="L20" s="9" t="s">
        <v>25</v>
      </c>
      <c r="N20" t="s">
        <v>31</v>
      </c>
    </row>
    <row r="21" spans="1:14">
      <c r="B21" s="49" t="s">
        <v>32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'2'!V29</f>
        <v>0</v>
      </c>
      <c r="L21" s="9" t="s">
        <v>25</v>
      </c>
    </row>
    <row r="22" spans="1:14">
      <c r="B22" s="48" t="s">
        <v>33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'2'!V30</f>
        <v>0</v>
      </c>
      <c r="L22" s="9" t="s">
        <v>25</v>
      </c>
    </row>
    <row r="23" spans="1:14">
      <c r="B23" s="51" t="s">
        <v>34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25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35</v>
      </c>
      <c r="C25" s="48"/>
      <c r="D25" s="48"/>
      <c r="E25" s="48"/>
      <c r="F25" s="48"/>
      <c r="G25" s="48"/>
      <c r="H25" s="48"/>
      <c r="I25" s="48"/>
      <c r="J25" s="21" t="s">
        <v>36</v>
      </c>
      <c r="K25" s="15" t="str">
        <f>'2'!V31</f>
        <v>0</v>
      </c>
      <c r="L25" s="12" t="s">
        <v>25</v>
      </c>
    </row>
    <row r="26" spans="1:14">
      <c r="B26" s="51" t="s">
        <v>37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25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38</v>
      </c>
      <c r="C28" s="52"/>
      <c r="D28" s="52"/>
      <c r="E28" s="52"/>
      <c r="F28" s="52"/>
      <c r="G28" s="52"/>
      <c r="H28" s="52"/>
      <c r="I28" s="52"/>
      <c r="J28" s="52"/>
      <c r="K28" s="28" t="s">
        <v>22</v>
      </c>
      <c r="L28" s="28" t="s">
        <v>23</v>
      </c>
    </row>
    <row r="29" spans="1:14">
      <c r="B29" s="49" t="s">
        <v>39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25</v>
      </c>
    </row>
    <row r="30" spans="1:14">
      <c r="B30" s="49" t="s">
        <v>40</v>
      </c>
      <c r="C30" s="49"/>
      <c r="D30" s="49"/>
      <c r="E30" s="49"/>
      <c r="F30" s="49"/>
      <c r="G30" s="49"/>
      <c r="H30" s="49"/>
      <c r="I30" s="49"/>
      <c r="J30" s="49"/>
      <c r="K30" s="14" t="str">
        <f>IF('2'!Z7&lt;1, '2'!Z7*J11, '2'!Z7*J11)</f>
        <v>0</v>
      </c>
      <c r="L30" s="9" t="s">
        <v>25</v>
      </c>
    </row>
    <row r="31" spans="1:14">
      <c r="B31" s="48" t="s">
        <v>41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25</v>
      </c>
    </row>
    <row r="32" spans="1:14">
      <c r="B32" s="51" t="s">
        <v>42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25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43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44</v>
      </c>
      <c r="C35" s="56" t="s">
        <v>45</v>
      </c>
      <c r="D35" s="57"/>
      <c r="E35" s="58"/>
      <c r="F35" s="4" t="s">
        <v>46</v>
      </c>
      <c r="G35" s="56" t="s">
        <v>47</v>
      </c>
      <c r="H35" s="58"/>
      <c r="I35" s="3" t="s">
        <v>48</v>
      </c>
      <c r="J35" s="26" t="s">
        <v>37</v>
      </c>
      <c r="K35" s="47" t="s">
        <v>49</v>
      </c>
      <c r="L35" s="47"/>
    </row>
    <row r="36" spans="1:14">
      <c r="B36" s="5">
        <v>1</v>
      </c>
      <c r="C36" s="5" t="s">
        <v>50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51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52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53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54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55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56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1">
        <v>8</v>
      </c>
      <c r="C43" s="5" t="s">
        <v>57</v>
      </c>
      <c r="D43" s="5"/>
      <c r="E43" s="5"/>
      <c r="F43" s="5" t="str">
        <f>'2'!J10</f>
        <v>0</v>
      </c>
      <c r="G43" s="88" t="str">
        <f>'2'!J8</f>
        <v>0</v>
      </c>
      <c r="H43" s="5"/>
      <c r="I43" s="88" t="str">
        <f>'2'!J46</f>
        <v>0</v>
      </c>
      <c r="J43" s="88" t="str">
        <f>'2'!J44</f>
        <v>0</v>
      </c>
      <c r="K43" s="89" t="str">
        <f>'2'!J47</f>
        <v>0</v>
      </c>
      <c r="L43" s="3"/>
    </row>
    <row r="44" spans="1:14" customHeight="1" ht="18">
      <c r="B44" s="91">
        <v>9</v>
      </c>
      <c r="C44" s="5" t="s">
        <v>58</v>
      </c>
      <c r="D44" s="5"/>
      <c r="E44" s="5"/>
      <c r="F44" s="5" t="str">
        <f>'2'!K10</f>
        <v>0</v>
      </c>
      <c r="G44" s="88" t="str">
        <f>'2'!K8</f>
        <v>0</v>
      </c>
      <c r="H44" s="5"/>
      <c r="I44" s="88" t="str">
        <f>'2'!K46</f>
        <v>0</v>
      </c>
      <c r="J44" s="88" t="str">
        <f>'2'!K44</f>
        <v>0</v>
      </c>
      <c r="K44" s="89" t="str">
        <f>'2'!K47</f>
        <v>0</v>
      </c>
      <c r="L44" s="3"/>
    </row>
    <row r="45" spans="1:14" customHeight="1" ht="18">
      <c r="B45" s="91">
        <v>10</v>
      </c>
      <c r="C45" s="5" t="s">
        <v>59</v>
      </c>
      <c r="D45" s="5"/>
      <c r="E45" s="5"/>
      <c r="F45" s="5" t="str">
        <f>'2'!L10</f>
        <v>0</v>
      </c>
      <c r="G45" s="88" t="str">
        <f>'2'!L8</f>
        <v>0</v>
      </c>
      <c r="H45" s="5"/>
      <c r="I45" s="88" t="str">
        <f>'2'!L46</f>
        <v>0</v>
      </c>
      <c r="J45" s="88" t="str">
        <f>'2'!L44</f>
        <v>0</v>
      </c>
      <c r="K45" s="89" t="str">
        <f>'2'!L47</f>
        <v>0</v>
      </c>
      <c r="L45" s="3"/>
    </row>
    <row r="46" spans="1:14" customHeight="1" ht="18">
      <c r="B46" s="91">
        <v>11</v>
      </c>
      <c r="C46" s="5" t="s">
        <v>60</v>
      </c>
      <c r="D46" s="5"/>
      <c r="E46" s="5"/>
      <c r="F46" s="5" t="str">
        <f>'2'!M10</f>
        <v>0</v>
      </c>
      <c r="G46" s="88" t="str">
        <f>'2'!M8</f>
        <v>0</v>
      </c>
      <c r="H46" s="5"/>
      <c r="I46" s="88" t="str">
        <f>'2'!M46</f>
        <v>0</v>
      </c>
      <c r="J46" s="88" t="str">
        <f>'2'!M44</f>
        <v>0</v>
      </c>
      <c r="K46" s="89" t="str">
        <f>'2'!M47</f>
        <v>0</v>
      </c>
      <c r="L46" s="3"/>
    </row>
    <row r="47" spans="1:14" customHeight="1" ht="18">
      <c r="B47" s="91">
        <v>12</v>
      </c>
      <c r="C47" s="5" t="s">
        <v>61</v>
      </c>
      <c r="D47" s="5"/>
      <c r="E47" s="5"/>
      <c r="F47" s="5" t="str">
        <f>'2'!N10</f>
        <v>0</v>
      </c>
      <c r="G47" s="88" t="str">
        <f>'2'!N8</f>
        <v>0</v>
      </c>
      <c r="H47" s="5"/>
      <c r="I47" s="88" t="str">
        <f>'2'!N46</f>
        <v>0</v>
      </c>
      <c r="J47" s="88" t="str">
        <f>'2'!N44</f>
        <v>0</v>
      </c>
      <c r="K47" s="89" t="str">
        <f>'2'!N47</f>
        <v>0</v>
      </c>
      <c r="L47" s="3"/>
    </row>
    <row r="48" spans="1:14" customHeight="1" ht="18">
      <c r="B48" s="91">
        <v>13</v>
      </c>
      <c r="C48" s="5" t="s">
        <v>62</v>
      </c>
      <c r="D48" s="5"/>
      <c r="E48" s="5"/>
      <c r="F48" s="5" t="str">
        <f>'2'!O10</f>
        <v>0</v>
      </c>
      <c r="G48" s="88" t="str">
        <f>'2'!O8</f>
        <v>0</v>
      </c>
      <c r="H48" s="5"/>
      <c r="I48" s="88" t="str">
        <f>'2'!O46</f>
        <v>0</v>
      </c>
      <c r="J48" s="88" t="str">
        <f>'2'!O44</f>
        <v>0</v>
      </c>
      <c r="K48" s="89" t="str">
        <f>'2'!O47</f>
        <v>0</v>
      </c>
      <c r="L48" s="3"/>
    </row>
    <row r="49" spans="1:14" customHeight="1" ht="18">
      <c r="B49" s="91">
        <v>14</v>
      </c>
      <c r="C49" s="5" t="s">
        <v>63</v>
      </c>
      <c r="D49" s="5"/>
      <c r="E49" s="5"/>
      <c r="F49" s="5" t="str">
        <f>'2'!P10</f>
        <v>0</v>
      </c>
      <c r="G49" s="88" t="str">
        <f>'2'!P8</f>
        <v>0</v>
      </c>
      <c r="H49" s="5"/>
      <c r="I49" s="88" t="str">
        <f>'2'!P46</f>
        <v>0</v>
      </c>
      <c r="J49" s="88" t="str">
        <f>'2'!P44</f>
        <v>0</v>
      </c>
      <c r="K49" s="89" t="str">
        <f>'2'!P47</f>
        <v>0</v>
      </c>
      <c r="L49" s="3"/>
    </row>
    <row r="50" spans="1:14" customHeight="1" ht="18">
      <c r="B50" s="91">
        <v>15</v>
      </c>
      <c r="C50" s="5" t="s">
        <v>64</v>
      </c>
      <c r="D50" s="5"/>
      <c r="E50" s="5"/>
      <c r="F50" s="5" t="str">
        <f>'2'!Q10</f>
        <v>0</v>
      </c>
      <c r="G50" s="88" t="str">
        <f>'2'!Q8</f>
        <v>0</v>
      </c>
      <c r="H50" s="5"/>
      <c r="I50" s="88" t="str">
        <f>'2'!Q46</f>
        <v>0</v>
      </c>
      <c r="J50" s="88" t="str">
        <f>'2'!Q44</f>
        <v>0</v>
      </c>
      <c r="K50" s="89" t="str">
        <f>'2'!Q47</f>
        <v>0</v>
      </c>
      <c r="L50" s="3"/>
    </row>
    <row r="51" spans="1:14" customHeight="1" ht="18">
      <c r="B51" s="91">
        <v>16</v>
      </c>
      <c r="C51" s="5" t="s">
        <v>65</v>
      </c>
      <c r="D51" s="5"/>
      <c r="E51" s="5"/>
      <c r="F51" s="5" t="str">
        <f>'2'!R10</f>
        <v>0</v>
      </c>
      <c r="G51" s="88" t="str">
        <f>'2'!R8</f>
        <v>0</v>
      </c>
      <c r="H51" s="5"/>
      <c r="I51" s="88" t="str">
        <f>'2'!R46</f>
        <v>0</v>
      </c>
      <c r="J51" s="88" t="str">
        <f>'2'!R44</f>
        <v>0</v>
      </c>
      <c r="K51" s="89" t="str">
        <f>'2'!R47</f>
        <v>0</v>
      </c>
      <c r="L51" s="3"/>
    </row>
    <row r="52" spans="1:14" customHeight="1" ht="18">
      <c r="B52" s="91">
        <v>17</v>
      </c>
      <c r="C52" s="5" t="s">
        <v>66</v>
      </c>
      <c r="D52" s="5"/>
      <c r="E52" s="5"/>
      <c r="F52" s="5" t="str">
        <f>'2'!S10</f>
        <v>0</v>
      </c>
      <c r="G52" s="88" t="str">
        <f>'2'!S8</f>
        <v>0</v>
      </c>
      <c r="H52" s="5"/>
      <c r="I52" s="88" t="str">
        <f>'2'!S46</f>
        <v>0</v>
      </c>
      <c r="J52" s="88" t="str">
        <f>'2'!S44</f>
        <v>0</v>
      </c>
      <c r="K52" s="89" t="str">
        <f>'2'!S47</f>
        <v>0</v>
      </c>
      <c r="L52" s="3"/>
    </row>
    <row r="53" spans="1:14" customHeight="1" ht="18">
      <c r="B53" s="91">
        <v>18</v>
      </c>
      <c r="C53" s="5" t="s">
        <v>67</v>
      </c>
      <c r="D53" s="5"/>
      <c r="E53" s="5"/>
      <c r="F53" s="5" t="str">
        <f>'2'!T10</f>
        <v>0</v>
      </c>
      <c r="G53" s="88" t="str">
        <f>'2'!T8</f>
        <v>0</v>
      </c>
      <c r="H53" s="5"/>
      <c r="I53" s="88" t="str">
        <f>'2'!T46</f>
        <v>0</v>
      </c>
      <c r="J53" s="88" t="str">
        <f>'2'!T44</f>
        <v>0</v>
      </c>
      <c r="K53" s="89" t="str">
        <f>'2'!T47</f>
        <v>0</v>
      </c>
      <c r="L53" s="3"/>
    </row>
    <row r="54" spans="1:14" customHeight="1" ht="18">
      <c r="B54" s="91">
        <v>19</v>
      </c>
      <c r="C54" s="5" t="s">
        <v>68</v>
      </c>
      <c r="D54" s="5"/>
      <c r="E54" s="5"/>
      <c r="F54" s="5" t="str">
        <f>'2'!U10</f>
        <v>0</v>
      </c>
      <c r="G54" s="88" t="str">
        <f>'2'!U8</f>
        <v>0</v>
      </c>
      <c r="H54" s="5"/>
      <c r="I54" s="88" t="str">
        <f>'2'!U46</f>
        <v>0</v>
      </c>
      <c r="J54" s="88" t="str">
        <f>'2'!U44</f>
        <v>0</v>
      </c>
      <c r="K54" s="89" t="str">
        <f>'2'!U47</f>
        <v>0</v>
      </c>
      <c r="L54" s="3"/>
    </row>
    <row r="55" spans="1:14" customHeight="1" ht="18">
      <c r="B55" s="93" t="s">
        <v>37</v>
      </c>
      <c r="C55" s="92"/>
      <c r="D55" s="92"/>
      <c r="E55" s="92"/>
      <c r="F55" s="93" t="str">
        <f>SUM(F36:F54)</f>
        <v>0</v>
      </c>
      <c r="G55" s="64"/>
      <c r="H55" s="64"/>
      <c r="I55" s="64"/>
      <c r="J55" s="94" t="str">
        <f>SUM(J36:J54)</f>
        <v>0</v>
      </c>
      <c r="K55" s="64"/>
      <c r="L55" s="64"/>
    </row>
    <row r="56" spans="1:14" customHeight="1" ht="18">
      <c r="B56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1:14" customHeight="1" ht="18">
      <c r="B57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1:14" customHeight="1" ht="18">
      <c r="B58" s="64" t="s">
        <v>71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</row>
    <row r="59" spans="1:14" customHeight="1" ht="18">
      <c r="B59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1:14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4" customHeight="1" ht="9">
      <c r="B61" s="38"/>
      <c r="C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4" customHeight="1" ht="31.8">
      <c r="B62" s="38"/>
      <c r="C62" s="38"/>
      <c r="D62" s="37" t="s">
        <v>0</v>
      </c>
      <c r="E62" s="37"/>
      <c r="F62" s="37"/>
      <c r="G62" s="37"/>
      <c r="H62" s="37"/>
      <c r="I62" s="37"/>
      <c r="J62" s="37"/>
      <c r="K62" s="37"/>
      <c r="L62" s="37"/>
      <c r="M62" s="37"/>
    </row>
    <row r="63" spans="1:14" customHeight="1" ht="21">
      <c r="B63" s="38"/>
      <c r="C63" s="38"/>
      <c r="D63" s="53" t="s">
        <v>73</v>
      </c>
      <c r="E63" s="53"/>
      <c r="F63" s="53"/>
      <c r="G63" s="53"/>
      <c r="H63" s="53"/>
      <c r="I63" s="53"/>
    </row>
    <row r="64" spans="1:14">
      <c r="B64" s="38"/>
      <c r="C64" s="38"/>
    </row>
    <row r="65" spans="1:14">
      <c r="B65" s="38"/>
      <c r="C65" s="38"/>
    </row>
    <row r="66" spans="1:14" customHeight="1" ht="21">
      <c r="B66" s="70" t="s">
        <v>74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</row>
    <row r="68" spans="1:14">
      <c r="B68" s="71" t="s">
        <v>75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76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49" t="s">
        <v>77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</row>
    <row r="71" spans="1:14">
      <c r="B71" s="71" t="s">
        <v>78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79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49" t="s">
        <v>80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1:14">
      <c r="B74" s="71" t="s">
        <v>81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4">
      <c r="B75" s="71" t="s">
        <v>82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1" t="s">
        <v>83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71" t="s">
        <v>84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85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86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71" t="s">
        <v>87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B81" s="71" t="s">
        <v>88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B82" s="71" t="s">
        <v>89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B83" s="71" t="s">
        <v>90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B84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4">
      <c r="B85" s="67" t="s">
        <v>92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4">
      <c r="B86" s="71" t="s">
        <v>93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4">
      <c r="B87" s="67" t="s">
        <v>94</v>
      </c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1:14">
      <c r="B88" s="71" t="s">
        <v>95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4">
      <c r="B89" s="71" t="s">
        <v>96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4">
      <c r="B90" s="71" t="s">
        <v>97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4">
      <c r="B91" s="71" t="s">
        <v>98</v>
      </c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4">
      <c r="B92" s="71" t="s">
        <v>99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spans="1:14">
      <c r="A93" s="32"/>
      <c r="B93" s="72" t="s">
        <v>100</v>
      </c>
      <c r="C93" s="72"/>
      <c r="D93" s="72"/>
      <c r="E93" s="72"/>
      <c r="F93" s="72"/>
      <c r="G93" s="72"/>
      <c r="H93" s="72"/>
      <c r="I93" s="72"/>
      <c r="J93" s="72"/>
      <c r="K93" s="72"/>
      <c r="L93" s="72"/>
    </row>
    <row r="94" spans="1:14">
      <c r="A94" s="32"/>
      <c r="B94" s="71" t="s">
        <v>101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</row>
    <row r="95" spans="1:14">
      <c r="A95" s="32"/>
      <c r="B95" s="72" t="s">
        <v>102</v>
      </c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7" spans="1:14">
      <c r="C97" s="38"/>
      <c r="D97" s="38"/>
      <c r="E97" s="38"/>
      <c r="F97" s="38"/>
      <c r="G97" s="38"/>
      <c r="H97" s="38"/>
      <c r="I97" s="38"/>
    </row>
    <row r="98" spans="1:14">
      <c r="C98" s="38"/>
      <c r="D98" s="38"/>
      <c r="E98" s="38"/>
      <c r="F98" s="38"/>
      <c r="G98" s="38"/>
      <c r="H98" s="38"/>
      <c r="I98" s="38"/>
    </row>
    <row r="99" spans="1:14">
      <c r="C99" s="38"/>
      <c r="D99" s="38"/>
      <c r="E99" s="38"/>
      <c r="F99" s="38"/>
      <c r="G99" s="38"/>
      <c r="H99" s="38"/>
      <c r="I99" s="38"/>
    </row>
    <row r="100" spans="1:14">
      <c r="C100" s="38"/>
      <c r="D100" s="38"/>
      <c r="E100" s="38"/>
      <c r="F100" s="38"/>
      <c r="G100" s="38"/>
      <c r="H100" s="38"/>
      <c r="I100" s="38"/>
    </row>
    <row r="101" spans="1:14">
      <c r="C101" s="38"/>
      <c r="D101" s="38"/>
      <c r="E101" s="38"/>
      <c r="F101" s="38"/>
      <c r="G101" s="38"/>
      <c r="H101" s="38"/>
      <c r="I101" s="38"/>
    </row>
    <row r="102" spans="1:14">
      <c r="C102" s="38"/>
      <c r="D102" s="38"/>
      <c r="E102" s="38"/>
      <c r="F102" s="38"/>
      <c r="G102" s="38"/>
      <c r="H102" s="38"/>
      <c r="I102" s="38"/>
    </row>
    <row r="103" spans="1:14">
      <c r="C103" s="38"/>
      <c r="D103" s="38"/>
      <c r="E103" s="38"/>
      <c r="F103" s="38"/>
      <c r="G103" s="38"/>
      <c r="H103" s="38"/>
      <c r="I103" s="38"/>
    </row>
    <row r="104" spans="1:14" customHeight="1" ht="15.6">
      <c r="C104" s="38"/>
      <c r="D104" s="38"/>
      <c r="E104" s="38"/>
      <c r="F104" s="38"/>
      <c r="G104" s="38"/>
      <c r="H104" s="38"/>
      <c r="I104" s="38"/>
    </row>
    <row r="105" spans="1:14" customHeight="1" ht="15.6">
      <c r="C105" s="38"/>
      <c r="D105" s="38"/>
      <c r="E105" s="38"/>
      <c r="F105" s="38"/>
      <c r="G105" s="38"/>
      <c r="H105" s="38"/>
      <c r="I105" s="38"/>
    </row>
    <row r="106" spans="1:14">
      <c r="C106" s="38"/>
      <c r="D106" s="38"/>
      <c r="E106" s="38"/>
      <c r="F106" s="38"/>
      <c r="G106" s="38"/>
      <c r="H106" s="38"/>
      <c r="I106" s="38"/>
    </row>
    <row r="112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85:L85"/>
    <mergeCell ref="B86:L86"/>
    <mergeCell ref="A7:C7"/>
    <mergeCell ref="I7:L7"/>
    <mergeCell ref="B70:L70"/>
    <mergeCell ref="B59:L59"/>
    <mergeCell ref="C38:E38"/>
    <mergeCell ref="K38:L38"/>
    <mergeCell ref="B68:L68"/>
    <mergeCell ref="B81:L81"/>
    <mergeCell ref="B69:L69"/>
    <mergeCell ref="G37:H37"/>
    <mergeCell ref="J11:L11"/>
    <mergeCell ref="B95:L95"/>
    <mergeCell ref="B78:L78"/>
    <mergeCell ref="B79:L79"/>
    <mergeCell ref="B80:L80"/>
    <mergeCell ref="B71:L71"/>
    <mergeCell ref="B72:L72"/>
    <mergeCell ref="B73:L73"/>
    <mergeCell ref="B74:L74"/>
    <mergeCell ref="B75:L75"/>
    <mergeCell ref="B76:L76"/>
    <mergeCell ref="B77:L77"/>
    <mergeCell ref="B82:L82"/>
    <mergeCell ref="B83:L83"/>
    <mergeCell ref="B84:L84"/>
    <mergeCell ref="B94:L94"/>
    <mergeCell ref="B93:L93"/>
    <mergeCell ref="B92:L92"/>
    <mergeCell ref="B87:L87"/>
    <mergeCell ref="B88:L88"/>
    <mergeCell ref="B89:L89"/>
    <mergeCell ref="B90:L90"/>
    <mergeCell ref="B91:L91"/>
    <mergeCell ref="B61:C65"/>
    <mergeCell ref="B19:F19"/>
    <mergeCell ref="C35:E35"/>
    <mergeCell ref="B66:L66"/>
    <mergeCell ref="B57:L57"/>
    <mergeCell ref="G38:H38"/>
    <mergeCell ref="K37:L37"/>
    <mergeCell ref="C37:E37"/>
    <mergeCell ref="B27:I27"/>
    <mergeCell ref="B23:I23"/>
    <mergeCell ref="B20:I20"/>
    <mergeCell ref="B21:I21"/>
    <mergeCell ref="B22:I22"/>
    <mergeCell ref="D62:J62"/>
    <mergeCell ref="B31:J31"/>
    <mergeCell ref="B26:I26"/>
    <mergeCell ref="B12:L12"/>
    <mergeCell ref="B13:J13"/>
    <mergeCell ref="B14:J14"/>
    <mergeCell ref="B16:J16"/>
    <mergeCell ref="B15:J15"/>
    <mergeCell ref="C97:I106"/>
    <mergeCell ref="A1:L1"/>
    <mergeCell ref="E2:L2"/>
    <mergeCell ref="D63:I63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8:L58"/>
    <mergeCell ref="B56:L56"/>
    <mergeCell ref="F11:G11"/>
    <mergeCell ref="K62:M62"/>
    <mergeCell ref="E61:M61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50:E50"/>
    <mergeCell ref="G50:H50"/>
    <mergeCell ref="K50:L50"/>
    <mergeCell ref="C51:E51"/>
    <mergeCell ref="G51:H51"/>
    <mergeCell ref="K51:L51"/>
    <mergeCell ref="C52:E52"/>
    <mergeCell ref="G52:H52"/>
    <mergeCell ref="K52:L52"/>
    <mergeCell ref="C53:E53"/>
    <mergeCell ref="G53:H53"/>
    <mergeCell ref="K53:L53"/>
    <mergeCell ref="C54:E54"/>
    <mergeCell ref="G54:H54"/>
    <mergeCell ref="K54:L54"/>
    <mergeCell ref="B55:E55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7"/>
  <sheetViews>
    <sheetView tabSelected="0" workbookViewId="0" showGridLines="true" showRowColHeaders="1">
      <selection activeCell="V44" sqref="V44"/>
    </sheetView>
  </sheetViews>
  <sheetFormatPr defaultRowHeight="14.4" outlineLevelRow="0" outlineLevelCol="0"/>
  <cols>
    <col min="2" max="2" width="24.708252" bestFit="true" customWidth="true" style="0"/>
    <col min="3" max="3" width="37.705078" bestFit="true" customWidth="true" style="0"/>
    <col min="4" max="4" width="22.280273" bestFit="true" customWidth="true" style="0"/>
    <col min="5" max="5" width="32.991943" bestFit="true" customWidth="true" style="0"/>
    <col min="6" max="6" width="22.280273" bestFit="true" customWidth="true" style="0"/>
    <col min="7" max="7" width="24.708252" bestFit="true" customWidth="true" style="0"/>
    <col min="8" max="8" width="32.991943" bestFit="true" customWidth="true" style="0"/>
    <col min="9" max="9" width="38.847656" bestFit="true" customWidth="true" style="0"/>
    <col min="10" max="10" width="38.847656" bestFit="true" customWidth="true" style="0"/>
    <col min="11" max="11" width="45.845947" bestFit="true" customWidth="true" style="0"/>
    <col min="12" max="12" width="49.416504" bestFit="true" customWidth="true" style="0"/>
    <col min="13" max="13" width="36.419678" bestFit="true" customWidth="true" style="0"/>
    <col min="14" max="14" width="22.280273" bestFit="true" customWidth="true" style="0"/>
    <col min="15" max="15" width="34.134521" bestFit="true" customWidth="true" style="0"/>
    <col min="16" max="16" width="47.131348" bestFit="true" customWidth="true" style="0"/>
    <col min="17" max="17" width="34.134521" bestFit="true" customWidth="true" style="0"/>
    <col min="18" max="18" width="52.987061" bestFit="true" customWidth="true" style="0"/>
    <col min="19" max="19" width="49.416504" bestFit="true" customWidth="true" style="0"/>
    <col min="20" max="20" width="34.134521" bestFit="true" customWidth="true" style="0"/>
    <col min="21" max="21" width="39.990234" bestFit="true" customWidth="true" style="0"/>
    <col min="22" max="22" width="13.996582" bestFit="true" customWidth="true" style="0"/>
  </cols>
  <sheetData>
    <row r="3" spans="1:26">
      <c r="B3" s="75" t="s">
        <v>103</v>
      </c>
      <c r="C3" s="74"/>
      <c r="D3" s="74"/>
      <c r="E3" s="74"/>
      <c r="F3" s="74"/>
      <c r="G3" s="74"/>
    </row>
    <row r="5" spans="1:26">
      <c r="B5" s="78" t="s">
        <v>104</v>
      </c>
      <c r="C5" s="80" t="s">
        <v>50</v>
      </c>
      <c r="D5" s="80" t="s">
        <v>51</v>
      </c>
      <c r="E5" s="80" t="s">
        <v>52</v>
      </c>
      <c r="F5" s="80" t="s">
        <v>53</v>
      </c>
      <c r="G5" s="80" t="s">
        <v>54</v>
      </c>
      <c r="H5" s="80" t="s">
        <v>55</v>
      </c>
      <c r="I5" s="80" t="s">
        <v>56</v>
      </c>
      <c r="J5" s="80" t="s">
        <v>57</v>
      </c>
      <c r="K5" s="80" t="s">
        <v>58</v>
      </c>
      <c r="L5" s="80" t="s">
        <v>59</v>
      </c>
      <c r="M5" s="80" t="s">
        <v>60</v>
      </c>
      <c r="N5" s="80" t="s">
        <v>61</v>
      </c>
      <c r="O5" s="80" t="s">
        <v>62</v>
      </c>
      <c r="P5" s="80" t="s">
        <v>63</v>
      </c>
      <c r="Q5" s="80" t="s">
        <v>64</v>
      </c>
      <c r="R5" s="80" t="s">
        <v>65</v>
      </c>
      <c r="S5" s="80" t="s">
        <v>66</v>
      </c>
      <c r="T5" s="80" t="s">
        <v>67</v>
      </c>
      <c r="U5" s="80" t="s">
        <v>68</v>
      </c>
      <c r="V5" s="80" t="s">
        <v>105</v>
      </c>
    </row>
    <row r="6" spans="1:26">
      <c r="B6" s="74" t="s">
        <v>106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82">
        <v>338.4</v>
      </c>
      <c r="Y6" s="76" t="s">
        <v>107</v>
      </c>
      <c r="Z6" s="76" t="s">
        <v>108</v>
      </c>
    </row>
    <row r="7" spans="1:26">
      <c r="B7" s="74" t="s">
        <v>109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83">
        <v>18</v>
      </c>
      <c r="Y7" s="77" t="s">
        <v>19</v>
      </c>
      <c r="Z7" s="77"/>
    </row>
    <row r="8" spans="1:26">
      <c r="B8" s="74" t="s">
        <v>110</v>
      </c>
      <c r="C8" s="81">
        <v>0.46</v>
      </c>
      <c r="D8" s="81">
        <v>5.9</v>
      </c>
      <c r="E8" s="81">
        <v>40</v>
      </c>
      <c r="F8" s="81">
        <v>0.5</v>
      </c>
      <c r="G8" s="81">
        <v>0.6</v>
      </c>
      <c r="H8" s="81">
        <v>0.3</v>
      </c>
      <c r="I8" s="81">
        <v>7.2</v>
      </c>
      <c r="J8" s="81">
        <v>10</v>
      </c>
      <c r="K8" s="81">
        <v>31.21</v>
      </c>
      <c r="L8" s="81">
        <v>43.8</v>
      </c>
      <c r="M8" s="81">
        <v>8</v>
      </c>
      <c r="N8" s="81">
        <v>1.2</v>
      </c>
      <c r="O8" s="81">
        <v>3.7555555555556</v>
      </c>
      <c r="P8" s="81">
        <v>1.8</v>
      </c>
      <c r="Q8" s="81">
        <v>1.5</v>
      </c>
      <c r="R8" s="81">
        <v>3.5</v>
      </c>
      <c r="S8" s="81">
        <v>13.6</v>
      </c>
      <c r="T8" s="81">
        <v>3</v>
      </c>
      <c r="U8" s="81">
        <v>0.4</v>
      </c>
      <c r="V8" s="74"/>
    </row>
    <row r="9" spans="1:26">
      <c r="B9" s="79" t="s">
        <v>111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74"/>
    </row>
    <row r="10" spans="1:26">
      <c r="B10" s="74" t="s">
        <v>112</v>
      </c>
      <c r="C10" s="74">
        <v>400</v>
      </c>
      <c r="D10" s="74">
        <v>50</v>
      </c>
      <c r="E10" s="74">
        <v>10</v>
      </c>
      <c r="F10" s="74">
        <v>1000</v>
      </c>
      <c r="G10" s="74">
        <v>2000</v>
      </c>
      <c r="H10" s="74">
        <v>500</v>
      </c>
      <c r="I10" s="74">
        <v>500</v>
      </c>
      <c r="J10" s="74">
        <v>500</v>
      </c>
      <c r="K10" s="74">
        <v>20</v>
      </c>
      <c r="L10" s="74">
        <v>21</v>
      </c>
      <c r="M10" s="74">
        <v>1000</v>
      </c>
      <c r="N10" s="74">
        <v>1000</v>
      </c>
      <c r="O10" s="74">
        <v>450</v>
      </c>
      <c r="P10" s="74">
        <v>50</v>
      </c>
      <c r="Q10" s="74">
        <v>100</v>
      </c>
      <c r="R10" s="74">
        <v>20</v>
      </c>
      <c r="S10" s="74">
        <v>30</v>
      </c>
      <c r="T10" s="74">
        <v>50</v>
      </c>
      <c r="U10" s="74">
        <v>100</v>
      </c>
      <c r="V10" s="74" t="str">
        <f>SUM(C10:U10)</f>
        <v>0</v>
      </c>
    </row>
    <row r="11" spans="1:26">
      <c r="B11" s="74" t="s">
        <v>113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1" t="str">
        <f>K8*K10</f>
        <v>0</v>
      </c>
      <c r="L11" s="81" t="str">
        <f>L8*L10</f>
        <v>0</v>
      </c>
      <c r="M11" s="81" t="str">
        <f>M8*M10</f>
        <v>0</v>
      </c>
      <c r="N11" s="81" t="str">
        <f>N8*N10</f>
        <v>0</v>
      </c>
      <c r="O11" s="81" t="str">
        <f>O8*O10</f>
        <v>0</v>
      </c>
      <c r="P11" s="81" t="str">
        <f>P8*P10</f>
        <v>0</v>
      </c>
      <c r="Q11" s="81" t="str">
        <f>Q8*Q10</f>
        <v>0</v>
      </c>
      <c r="R11" s="81" t="str">
        <f>R8*R10</f>
        <v>0</v>
      </c>
      <c r="S11" s="81" t="str">
        <f>S8*S10</f>
        <v>0</v>
      </c>
      <c r="T11" s="81" t="str">
        <f>T8*T10</f>
        <v>0</v>
      </c>
      <c r="U11" s="81" t="str">
        <f>U8*U10</f>
        <v>0</v>
      </c>
      <c r="V11" s="86" t="str">
        <f>SUM(C11:U11)</f>
        <v>0</v>
      </c>
    </row>
    <row r="12" spans="1:26">
      <c r="B12" s="79" t="s">
        <v>114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1" t="str">
        <f>K10*K9</f>
        <v>0</v>
      </c>
      <c r="L12" s="81" t="str">
        <f>L10*L9</f>
        <v>0</v>
      </c>
      <c r="M12" s="81" t="str">
        <f>M10*M9</f>
        <v>0</v>
      </c>
      <c r="N12" s="81" t="str">
        <f>N10*N9</f>
        <v>0</v>
      </c>
      <c r="O12" s="81" t="str">
        <f>O10*O9</f>
        <v>0</v>
      </c>
      <c r="P12" s="81" t="str">
        <f>P10*P9</f>
        <v>0</v>
      </c>
      <c r="Q12" s="81" t="str">
        <f>Q10*Q9</f>
        <v>0</v>
      </c>
      <c r="R12" s="81" t="str">
        <f>R10*R9</f>
        <v>0</v>
      </c>
      <c r="S12" s="81" t="str">
        <f>S10*S9</f>
        <v>0</v>
      </c>
      <c r="T12" s="81" t="str">
        <f>T10*T9</f>
        <v>0</v>
      </c>
      <c r="U12" s="81" t="str">
        <f>U10*U9</f>
        <v>0</v>
      </c>
      <c r="V12" s="86" t="str">
        <f>SUM(C12:U12)</f>
        <v>0</v>
      </c>
    </row>
    <row r="13" spans="1:26">
      <c r="B13" s="74" t="s">
        <v>115</v>
      </c>
      <c r="C13" s="84" t="str">
        <f>C11/V11</f>
        <v>0</v>
      </c>
      <c r="D13" s="84" t="str">
        <f>D11/V11</f>
        <v>0</v>
      </c>
      <c r="E13" s="84" t="str">
        <f>E11/V11</f>
        <v>0</v>
      </c>
      <c r="F13" s="84" t="str">
        <f>F11/V11</f>
        <v>0</v>
      </c>
      <c r="G13" s="84" t="str">
        <f>G11/V11</f>
        <v>0</v>
      </c>
      <c r="H13" s="84" t="str">
        <f>H11/V11</f>
        <v>0</v>
      </c>
      <c r="I13" s="84" t="str">
        <f>I11/V11</f>
        <v>0</v>
      </c>
      <c r="J13" s="84" t="str">
        <f>J11/V11</f>
        <v>0</v>
      </c>
      <c r="K13" s="84" t="str">
        <f>K11/V11</f>
        <v>0</v>
      </c>
      <c r="L13" s="84" t="str">
        <f>L11/V11</f>
        <v>0</v>
      </c>
      <c r="M13" s="84" t="str">
        <f>M11/V11</f>
        <v>0</v>
      </c>
      <c r="N13" s="84" t="str">
        <f>N11/V11</f>
        <v>0</v>
      </c>
      <c r="O13" s="84" t="str">
        <f>O11/V11</f>
        <v>0</v>
      </c>
      <c r="P13" s="84" t="str">
        <f>P11/V11</f>
        <v>0</v>
      </c>
      <c r="Q13" s="84" t="str">
        <f>Q11/V11</f>
        <v>0</v>
      </c>
      <c r="R13" s="84" t="str">
        <f>R11/V11</f>
        <v>0</v>
      </c>
      <c r="S13" s="84" t="str">
        <f>S11/V11</f>
        <v>0</v>
      </c>
      <c r="T13" s="84" t="str">
        <f>T11/V11</f>
        <v>0</v>
      </c>
      <c r="U13" s="84" t="str">
        <f>U11/V11</f>
        <v>0</v>
      </c>
      <c r="V13" s="74"/>
    </row>
    <row r="14" spans="1:26">
      <c r="B14" s="74" t="s">
        <v>116</v>
      </c>
      <c r="C14" s="81" t="str">
        <f>V14*C13</f>
        <v>0</v>
      </c>
      <c r="D14" s="81" t="str">
        <f>V14*D13</f>
        <v>0</v>
      </c>
      <c r="E14" s="81" t="str">
        <f>V14*E13</f>
        <v>0</v>
      </c>
      <c r="F14" s="81" t="str">
        <f>V14*F13</f>
        <v>0</v>
      </c>
      <c r="G14" s="81" t="str">
        <f>V14*G13</f>
        <v>0</v>
      </c>
      <c r="H14" s="81" t="str">
        <f>V14*H13</f>
        <v>0</v>
      </c>
      <c r="I14" s="81" t="str">
        <f>V14*I13</f>
        <v>0</v>
      </c>
      <c r="J14" s="81" t="str">
        <f>V14*J13</f>
        <v>0</v>
      </c>
      <c r="K14" s="81" t="str">
        <f>V14*K13</f>
        <v>0</v>
      </c>
      <c r="L14" s="81" t="str">
        <f>V14*L13</f>
        <v>0</v>
      </c>
      <c r="M14" s="81" t="str">
        <f>V14*M13</f>
        <v>0</v>
      </c>
      <c r="N14" s="81" t="str">
        <f>V14*N13</f>
        <v>0</v>
      </c>
      <c r="O14" s="81" t="str">
        <f>V14*O13</f>
        <v>0</v>
      </c>
      <c r="P14" s="81" t="str">
        <f>V14*P13</f>
        <v>0</v>
      </c>
      <c r="Q14" s="81" t="str">
        <f>V14*Q13</f>
        <v>0</v>
      </c>
      <c r="R14" s="81" t="str">
        <f>V14*R13</f>
        <v>0</v>
      </c>
      <c r="S14" s="81" t="str">
        <f>V14*S13</f>
        <v>0</v>
      </c>
      <c r="T14" s="81" t="str">
        <f>V14*T13</f>
        <v>0</v>
      </c>
      <c r="U14" s="81" t="str">
        <f>V14*U13</f>
        <v>0</v>
      </c>
      <c r="V14" s="86" t="str">
        <f>IF(V7&lt;1, Z7*0.6, Z7*0.6*V7)</f>
        <v>0</v>
      </c>
    </row>
    <row r="15" spans="1:26">
      <c r="B15" s="74" t="s">
        <v>117</v>
      </c>
      <c r="C15" s="81" t="str">
        <f>C11+C14</f>
        <v>0</v>
      </c>
      <c r="D15" s="81" t="str">
        <f>D11+D14</f>
        <v>0</v>
      </c>
      <c r="E15" s="81" t="str">
        <f>E11+E14</f>
        <v>0</v>
      </c>
      <c r="F15" s="81" t="str">
        <f>F11+F14</f>
        <v>0</v>
      </c>
      <c r="G15" s="81" t="str">
        <f>G11+G14</f>
        <v>0</v>
      </c>
      <c r="H15" s="81" t="str">
        <f>H11+H14</f>
        <v>0</v>
      </c>
      <c r="I15" s="81" t="str">
        <f>I11+I14</f>
        <v>0</v>
      </c>
      <c r="J15" s="81" t="str">
        <f>J11+J14</f>
        <v>0</v>
      </c>
      <c r="K15" s="81" t="str">
        <f>K11+K14</f>
        <v>0</v>
      </c>
      <c r="L15" s="81" t="str">
        <f>L11+L14</f>
        <v>0</v>
      </c>
      <c r="M15" s="81" t="str">
        <f>M11+M14</f>
        <v>0</v>
      </c>
      <c r="N15" s="81" t="str">
        <f>N11+N14</f>
        <v>0</v>
      </c>
      <c r="O15" s="81" t="str">
        <f>O11+O14</f>
        <v>0</v>
      </c>
      <c r="P15" s="81" t="str">
        <f>P11+P14</f>
        <v>0</v>
      </c>
      <c r="Q15" s="81" t="str">
        <f>Q11+Q14</f>
        <v>0</v>
      </c>
      <c r="R15" s="81" t="str">
        <f>R11+R14</f>
        <v>0</v>
      </c>
      <c r="S15" s="81" t="str">
        <f>S11+S14</f>
        <v>0</v>
      </c>
      <c r="T15" s="81" t="str">
        <f>T11+T14</f>
        <v>0</v>
      </c>
      <c r="U15" s="81" t="str">
        <f>U11+U14</f>
        <v>0</v>
      </c>
      <c r="V15" s="86" t="str">
        <f>SUM(C15:U15)</f>
        <v>0</v>
      </c>
    </row>
    <row r="16" spans="1:26">
      <c r="B16" s="79" t="s">
        <v>118</v>
      </c>
      <c r="C16" s="81" t="str">
        <f>C12+C14</f>
        <v>0</v>
      </c>
      <c r="D16" s="81" t="str">
        <f>D12+D14</f>
        <v>0</v>
      </c>
      <c r="E16" s="81" t="str">
        <f>E12+E14</f>
        <v>0</v>
      </c>
      <c r="F16" s="81" t="str">
        <f>F12+F14</f>
        <v>0</v>
      </c>
      <c r="G16" s="81" t="str">
        <f>G12+G14</f>
        <v>0</v>
      </c>
      <c r="H16" s="81" t="str">
        <f>H12+H14</f>
        <v>0</v>
      </c>
      <c r="I16" s="81" t="str">
        <f>I12+I14</f>
        <v>0</v>
      </c>
      <c r="J16" s="81" t="str">
        <f>J12+J14</f>
        <v>0</v>
      </c>
      <c r="K16" s="81" t="str">
        <f>K12+K14</f>
        <v>0</v>
      </c>
      <c r="L16" s="81" t="str">
        <f>L12+L14</f>
        <v>0</v>
      </c>
      <c r="M16" s="81" t="str">
        <f>M12+M14</f>
        <v>0</v>
      </c>
      <c r="N16" s="81" t="str">
        <f>N12+N14</f>
        <v>0</v>
      </c>
      <c r="O16" s="81" t="str">
        <f>O12+O14</f>
        <v>0</v>
      </c>
      <c r="P16" s="81" t="str">
        <f>P12+P14</f>
        <v>0</v>
      </c>
      <c r="Q16" s="81" t="str">
        <f>Q12+Q14</f>
        <v>0</v>
      </c>
      <c r="R16" s="81" t="str">
        <f>R12+R14</f>
        <v>0</v>
      </c>
      <c r="S16" s="81" t="str">
        <f>S12+S14</f>
        <v>0</v>
      </c>
      <c r="T16" s="81" t="str">
        <f>T12+T14</f>
        <v>0</v>
      </c>
      <c r="U16" s="81" t="str">
        <f>U12+U14</f>
        <v>0</v>
      </c>
      <c r="V16" s="86" t="str">
        <f>SUM(C16:U16)</f>
        <v>0</v>
      </c>
    </row>
    <row r="17" spans="1:26">
      <c r="B17" s="74" t="s">
        <v>119</v>
      </c>
      <c r="C17" s="81" t="str">
        <f>IF(V15&gt;5000,100*C13,50*C13)</f>
        <v>0</v>
      </c>
      <c r="D17" s="81" t="str">
        <f>IF(V15&gt;5000,100*D13,50*D13)</f>
        <v>0</v>
      </c>
      <c r="E17" s="81" t="str">
        <f>IF(V15&gt;5000,100*E13,50*E13)</f>
        <v>0</v>
      </c>
      <c r="F17" s="81" t="str">
        <f>IF(V15&gt;5000,100*F13,50*F13)</f>
        <v>0</v>
      </c>
      <c r="G17" s="81" t="str">
        <f>IF(V15&gt;5000,100*G13,50*G13)</f>
        <v>0</v>
      </c>
      <c r="H17" s="81" t="str">
        <f>IF(V15&gt;5000,100*H13,50*H13)</f>
        <v>0</v>
      </c>
      <c r="I17" s="81" t="str">
        <f>IF(V15&gt;5000,100*I13,50*I13)</f>
        <v>0</v>
      </c>
      <c r="J17" s="81" t="str">
        <f>IF(V15&gt;5000,100*J13,50*J13)</f>
        <v>0</v>
      </c>
      <c r="K17" s="81" t="str">
        <f>IF(V15&gt;5000,100*K13,50*K13)</f>
        <v>0</v>
      </c>
      <c r="L17" s="81" t="str">
        <f>IF(V15&gt;5000,100*L13,50*L13)</f>
        <v>0</v>
      </c>
      <c r="M17" s="81" t="str">
        <f>IF(V15&gt;5000,100*M13,50*M13)</f>
        <v>0</v>
      </c>
      <c r="N17" s="81" t="str">
        <f>IF(V15&gt;5000,100*N13,50*N13)</f>
        <v>0</v>
      </c>
      <c r="O17" s="81" t="str">
        <f>IF(V15&gt;5000,100*O13,50*O13)</f>
        <v>0</v>
      </c>
      <c r="P17" s="81" t="str">
        <f>IF(V15&gt;5000,100*P13,50*P13)</f>
        <v>0</v>
      </c>
      <c r="Q17" s="81" t="str">
        <f>IF(V15&gt;5000,100*Q13,50*Q13)</f>
        <v>0</v>
      </c>
      <c r="R17" s="81" t="str">
        <f>IF(V15&gt;5000,100*R13,50*R13)</f>
        <v>0</v>
      </c>
      <c r="S17" s="81" t="str">
        <f>IF(V15&gt;5000,100*S13,50*S13)</f>
        <v>0</v>
      </c>
      <c r="T17" s="81" t="str">
        <f>IF(V15&gt;5000,100*T13,50*T13)</f>
        <v>0</v>
      </c>
      <c r="U17" s="81" t="str">
        <f>IF(V15&gt;5000,100*U13,50*U13)</f>
        <v>0</v>
      </c>
      <c r="V17" s="86" t="str">
        <f>SUM(C17:U17)</f>
        <v>0</v>
      </c>
    </row>
    <row r="18" spans="1:26">
      <c r="B18" s="74" t="s">
        <v>120</v>
      </c>
      <c r="C18" s="81" t="str">
        <f>C15+C17</f>
        <v>0</v>
      </c>
      <c r="D18" s="81" t="str">
        <f>D15+D17</f>
        <v>0</v>
      </c>
      <c r="E18" s="81" t="str">
        <f>E15+E17</f>
        <v>0</v>
      </c>
      <c r="F18" s="81" t="str">
        <f>F15+F17</f>
        <v>0</v>
      </c>
      <c r="G18" s="81" t="str">
        <f>G15+G17</f>
        <v>0</v>
      </c>
      <c r="H18" s="81" t="str">
        <f>H15+H17</f>
        <v>0</v>
      </c>
      <c r="I18" s="81" t="str">
        <f>I15+I17</f>
        <v>0</v>
      </c>
      <c r="J18" s="81" t="str">
        <f>J15+J17</f>
        <v>0</v>
      </c>
      <c r="K18" s="81" t="str">
        <f>K15+K17</f>
        <v>0</v>
      </c>
      <c r="L18" s="81" t="str">
        <f>L15+L17</f>
        <v>0</v>
      </c>
      <c r="M18" s="81" t="str">
        <f>M15+M17</f>
        <v>0</v>
      </c>
      <c r="N18" s="81" t="str">
        <f>N15+N17</f>
        <v>0</v>
      </c>
      <c r="O18" s="81" t="str">
        <f>O15+O17</f>
        <v>0</v>
      </c>
      <c r="P18" s="81" t="str">
        <f>P15+P17</f>
        <v>0</v>
      </c>
      <c r="Q18" s="81" t="str">
        <f>Q15+Q17</f>
        <v>0</v>
      </c>
      <c r="R18" s="81" t="str">
        <f>R15+R17</f>
        <v>0</v>
      </c>
      <c r="S18" s="81" t="str">
        <f>S15+S17</f>
        <v>0</v>
      </c>
      <c r="T18" s="81" t="str">
        <f>T15+T17</f>
        <v>0</v>
      </c>
      <c r="U18" s="81" t="str">
        <f>U15+U17</f>
        <v>0</v>
      </c>
      <c r="V18" s="86" t="str">
        <f>SUM(C18:U18)</f>
        <v>0</v>
      </c>
    </row>
    <row r="19" spans="1:26">
      <c r="B19" s="79" t="s">
        <v>121</v>
      </c>
      <c r="C19" s="81" t="str">
        <f>C16+C17</f>
        <v>0</v>
      </c>
      <c r="D19" s="81" t="str">
        <f>D16+D17</f>
        <v>0</v>
      </c>
      <c r="E19" s="81" t="str">
        <f>E16+E17</f>
        <v>0</v>
      </c>
      <c r="F19" s="81" t="str">
        <f>F16+F17</f>
        <v>0</v>
      </c>
      <c r="G19" s="81" t="str">
        <f>G16+G17</f>
        <v>0</v>
      </c>
      <c r="H19" s="81" t="str">
        <f>H16+H17</f>
        <v>0</v>
      </c>
      <c r="I19" s="81" t="str">
        <f>I16+I17</f>
        <v>0</v>
      </c>
      <c r="J19" s="81" t="str">
        <f>J16+J17</f>
        <v>0</v>
      </c>
      <c r="K19" s="81" t="str">
        <f>K16+K17</f>
        <v>0</v>
      </c>
      <c r="L19" s="81" t="str">
        <f>L16+L17</f>
        <v>0</v>
      </c>
      <c r="M19" s="81" t="str">
        <f>M16+M17</f>
        <v>0</v>
      </c>
      <c r="N19" s="81" t="str">
        <f>N16+N17</f>
        <v>0</v>
      </c>
      <c r="O19" s="81" t="str">
        <f>O16+O17</f>
        <v>0</v>
      </c>
      <c r="P19" s="81" t="str">
        <f>P16+P17</f>
        <v>0</v>
      </c>
      <c r="Q19" s="81" t="str">
        <f>Q16+Q17</f>
        <v>0</v>
      </c>
      <c r="R19" s="81" t="str">
        <f>R16+R17</f>
        <v>0</v>
      </c>
      <c r="S19" s="81" t="str">
        <f>S16+S17</f>
        <v>0</v>
      </c>
      <c r="T19" s="81" t="str">
        <f>T16+T17</f>
        <v>0</v>
      </c>
      <c r="U19" s="81" t="str">
        <f>U16+U17</f>
        <v>0</v>
      </c>
      <c r="V19" s="86" t="str">
        <f>SUM(C19:U19)</f>
        <v>0</v>
      </c>
    </row>
    <row r="23" spans="1:26">
      <c r="B23" s="75" t="s">
        <v>122</v>
      </c>
      <c r="C23" s="74"/>
      <c r="D23" s="74"/>
      <c r="E23" s="74"/>
    </row>
    <row r="26" spans="1:26">
      <c r="B26" s="74" t="s">
        <v>123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 t="str">
        <f>SUM(C26:U26)</f>
        <v>0</v>
      </c>
    </row>
    <row r="27" spans="1:26">
      <c r="C27" s="87">
        <v>0</v>
      </c>
      <c r="D27" s="87">
        <v>0.0063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4" t="str">
        <f>SUM(C27:U27)</f>
        <v>0</v>
      </c>
    </row>
    <row r="28" spans="1:26">
      <c r="B28" s="74" t="s">
        <v>124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MAX(K19,K18)*K27</f>
        <v>0</v>
      </c>
      <c r="L28" s="81" t="str">
        <f>MAX(L19,L18)*L27</f>
        <v>0</v>
      </c>
      <c r="M28" s="81" t="str">
        <f>MAX(M19,M18)*M27</f>
        <v>0</v>
      </c>
      <c r="N28" s="81" t="str">
        <f>MAX(N19,N18)*N27</f>
        <v>0</v>
      </c>
      <c r="O28" s="81" t="str">
        <f>MAX(O19,O18)*O27</f>
        <v>0</v>
      </c>
      <c r="P28" s="81" t="str">
        <f>MAX(P19,P18)*P27</f>
        <v>0</v>
      </c>
      <c r="Q28" s="81" t="str">
        <f>MAX(Q19,Q18)*Q27</f>
        <v>0</v>
      </c>
      <c r="R28" s="81" t="str">
        <f>MAX(R19,R18)*R27</f>
        <v>0</v>
      </c>
      <c r="S28" s="81" t="str">
        <f>MAX(S19,S18)*S27</f>
        <v>0</v>
      </c>
      <c r="T28" s="81" t="str">
        <f>MAX(T19,T18)*T27</f>
        <v>0</v>
      </c>
      <c r="U28" s="81" t="str">
        <f>MAX(U19,U18)*U27</f>
        <v>0</v>
      </c>
      <c r="V28" s="81" t="str">
        <f>SUM(C28:U28)</f>
        <v>0</v>
      </c>
    </row>
    <row r="29" spans="1:26">
      <c r="B29" s="74" t="s">
        <v>32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0.16*(MAX(K19,K18)+K28)</f>
        <v>0</v>
      </c>
      <c r="L29" s="81" t="str">
        <f>0.16*(MAX(L19,L18)+L28)</f>
        <v>0</v>
      </c>
      <c r="M29" s="81" t="str">
        <f>0.16*(MAX(M19,M18)+M28)</f>
        <v>0</v>
      </c>
      <c r="N29" s="81" t="str">
        <f>0.16*(MAX(N19,N18)+N28)</f>
        <v>0</v>
      </c>
      <c r="O29" s="81" t="str">
        <f>0.16*(MAX(O19,O18)+O28)</f>
        <v>0</v>
      </c>
      <c r="P29" s="81" t="str">
        <f>0.16*(MAX(P19,P18)+P28)</f>
        <v>0</v>
      </c>
      <c r="Q29" s="81" t="str">
        <f>0.16*(MAX(Q19,Q18)+Q28)</f>
        <v>0</v>
      </c>
      <c r="R29" s="81" t="str">
        <f>0.16*(MAX(R19,R18)+R28)</f>
        <v>0</v>
      </c>
      <c r="S29" s="81" t="str">
        <f>0.16*(MAX(S19,S18)+S28)</f>
        <v>0</v>
      </c>
      <c r="T29" s="81" t="str">
        <f>0.16*(MAX(T19,T18)+T28)</f>
        <v>0</v>
      </c>
      <c r="U29" s="81" t="str">
        <f>0.16*(MAX(U19,U18)+U28)</f>
        <v>0</v>
      </c>
      <c r="V29" s="81" t="str">
        <f>SUM(C29:U29)</f>
        <v>0</v>
      </c>
    </row>
    <row r="30" spans="1:26">
      <c r="B30" s="74" t="s">
        <v>33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0.02*(MAX(K19,K18)+K28)</f>
        <v>0</v>
      </c>
      <c r="L30" s="81" t="str">
        <f>0.02*(MAX(L19,L18)+L28)</f>
        <v>0</v>
      </c>
      <c r="M30" s="81" t="str">
        <f>0.02*(MAX(M19,M18)+M28)</f>
        <v>0</v>
      </c>
      <c r="N30" s="81" t="str">
        <f>0.02*(MAX(N19,N18)+N28)</f>
        <v>0</v>
      </c>
      <c r="O30" s="81" t="str">
        <f>0.02*(MAX(O19,O18)+O28)</f>
        <v>0</v>
      </c>
      <c r="P30" s="81" t="str">
        <f>0.02*(MAX(P19,P18)+P28)</f>
        <v>0</v>
      </c>
      <c r="Q30" s="81" t="str">
        <f>0.02*(MAX(Q19,Q18)+Q28)</f>
        <v>0</v>
      </c>
      <c r="R30" s="81" t="str">
        <f>0.02*(MAX(R19,R18)+R28)</f>
        <v>0</v>
      </c>
      <c r="S30" s="81" t="str">
        <f>0.02*(MAX(S19,S18)+S28)</f>
        <v>0</v>
      </c>
      <c r="T30" s="81" t="str">
        <f>0.02*(MAX(T19,T18)+T28)</f>
        <v>0</v>
      </c>
      <c r="U30" s="81" t="str">
        <f>0.02*(MAX(U19,U18)+U28)</f>
        <v>0</v>
      </c>
      <c r="V30" s="81" t="str">
        <f>SUM(C30:U30)</f>
        <v>0</v>
      </c>
    </row>
    <row r="31" spans="1:26">
      <c r="B31" s="74" t="s">
        <v>125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0.035*(MAX(K18,K19) +K28+K29+K30)</f>
        <v>0</v>
      </c>
      <c r="L31" s="81" t="str">
        <f>0.035*(MAX(L18,L19) +L28+L29+L30)</f>
        <v>0</v>
      </c>
      <c r="M31" s="81" t="str">
        <f>0.035*(MAX(M18,M19) +M28+M29+M30)</f>
        <v>0</v>
      </c>
      <c r="N31" s="81" t="str">
        <f>0.035*(MAX(N18,N19) +N28+N29+N30)</f>
        <v>0</v>
      </c>
      <c r="O31" s="81" t="str">
        <f>0.035*(MAX(O18,O19) +O28+O29+O30)</f>
        <v>0</v>
      </c>
      <c r="P31" s="81" t="str">
        <f>0.035*(MAX(P18,P19) +P28+P29+P30)</f>
        <v>0</v>
      </c>
      <c r="Q31" s="81" t="str">
        <f>0.035*(MAX(Q18,Q19) +Q28+Q29+Q30)</f>
        <v>0</v>
      </c>
      <c r="R31" s="81" t="str">
        <f>0.035*(MAX(R18,R19) +R28+R29+R30)</f>
        <v>0</v>
      </c>
      <c r="S31" s="81" t="str">
        <f>0.035*(MAX(S18,S19) +S28+S29+S30)</f>
        <v>0</v>
      </c>
      <c r="T31" s="81" t="str">
        <f>0.035*(MAX(T18,T19) +T28+T29+T30)</f>
        <v>0</v>
      </c>
      <c r="U31" s="81" t="str">
        <f>0.035*(MAX(U18,U19) +U28+U29+U30)</f>
        <v>0</v>
      </c>
      <c r="V31" s="81" t="str">
        <f>SUM(C31:U31)</f>
        <v>0</v>
      </c>
    </row>
    <row r="32" spans="1:26">
      <c r="B32" s="74" t="s">
        <v>37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  <c r="L32" s="81" t="str">
        <f>SUM(L28:L31)</f>
        <v>0</v>
      </c>
      <c r="M32" s="81" t="str">
        <f>SUM(M28:M31)</f>
        <v>0</v>
      </c>
      <c r="N32" s="81" t="str">
        <f>SUM(N28:N31)</f>
        <v>0</v>
      </c>
      <c r="O32" s="81" t="str">
        <f>SUM(O28:O31)</f>
        <v>0</v>
      </c>
      <c r="P32" s="81" t="str">
        <f>SUM(P28:P31)</f>
        <v>0</v>
      </c>
      <c r="Q32" s="81" t="str">
        <f>SUM(Q28:Q31)</f>
        <v>0</v>
      </c>
      <c r="R32" s="81" t="str">
        <f>SUM(R28:R31)</f>
        <v>0</v>
      </c>
      <c r="S32" s="81" t="str">
        <f>SUM(S28:S31)</f>
        <v>0</v>
      </c>
      <c r="T32" s="81" t="str">
        <f>SUM(T28:T31)</f>
        <v>0</v>
      </c>
      <c r="U32" s="81" t="str">
        <f>SUM(U28:U31)</f>
        <v>0</v>
      </c>
      <c r="V32" s="81" t="str">
        <f>SUM(V28:V31)</f>
        <v>0</v>
      </c>
    </row>
    <row r="37" spans="1:26">
      <c r="B37" s="75" t="s">
        <v>126</v>
      </c>
      <c r="C37" s="74"/>
      <c r="D37" s="74"/>
      <c r="E37" s="74"/>
    </row>
    <row r="40" spans="1:26">
      <c r="B40" s="74" t="s">
        <v>127</v>
      </c>
      <c r="C40" s="81" t="str">
        <f>C13*V40</f>
        <v>0</v>
      </c>
      <c r="D40" s="81" t="str">
        <f>D13*V40</f>
        <v>0</v>
      </c>
      <c r="E40" s="81" t="str">
        <f>E13*V40</f>
        <v>0</v>
      </c>
      <c r="F40" s="81" t="str">
        <f>F13*V40</f>
        <v>0</v>
      </c>
      <c r="G40" s="81" t="str">
        <f>G13*V40</f>
        <v>0</v>
      </c>
      <c r="H40" s="81" t="str">
        <f>H13*V40</f>
        <v>0</v>
      </c>
      <c r="I40" s="81" t="str">
        <f>I13*V40</f>
        <v>0</v>
      </c>
      <c r="J40" s="81" t="str">
        <f>J13*V40</f>
        <v>0</v>
      </c>
      <c r="K40" s="81" t="str">
        <f>K13*V40</f>
        <v>0</v>
      </c>
      <c r="L40" s="81" t="str">
        <f>L13*V40</f>
        <v>0</v>
      </c>
      <c r="M40" s="81" t="str">
        <f>M13*V40</f>
        <v>0</v>
      </c>
      <c r="N40" s="81" t="str">
        <f>N13*V40</f>
        <v>0</v>
      </c>
      <c r="O40" s="81" t="str">
        <f>O13*V40</f>
        <v>0</v>
      </c>
      <c r="P40" s="81" t="str">
        <f>P13*V40</f>
        <v>0</v>
      </c>
      <c r="Q40" s="81" t="str">
        <f>Q13*V40</f>
        <v>0</v>
      </c>
      <c r="R40" s="81" t="str">
        <f>R13*V40</f>
        <v>0</v>
      </c>
      <c r="S40" s="81" t="str">
        <f>S13*V40</f>
        <v>0</v>
      </c>
      <c r="T40" s="81" t="str">
        <f>T13*V40</f>
        <v>0</v>
      </c>
      <c r="U40" s="81" t="str">
        <f>U13*V40</f>
        <v>0</v>
      </c>
      <c r="V40" s="81" t="str">
        <f>IF(V7&lt;1, Z7*0.4,Z7*0.4*V7)</f>
        <v>0</v>
      </c>
    </row>
    <row r="41" spans="1:26">
      <c r="B41"/>
    </row>
    <row r="43" spans="1:26">
      <c r="B43" s="74" t="s">
        <v>127</v>
      </c>
      <c r="C43" s="74" t="s">
        <v>50</v>
      </c>
      <c r="D43" s="74" t="s">
        <v>51</v>
      </c>
      <c r="E43" s="74" t="s">
        <v>52</v>
      </c>
      <c r="F43" s="74" t="s">
        <v>53</v>
      </c>
      <c r="G43" s="74" t="s">
        <v>54</v>
      </c>
      <c r="H43" s="74" t="s">
        <v>55</v>
      </c>
      <c r="I43" s="74" t="s">
        <v>56</v>
      </c>
      <c r="J43" s="74" t="s">
        <v>57</v>
      </c>
      <c r="K43" s="74" t="s">
        <v>58</v>
      </c>
      <c r="L43" s="74" t="s">
        <v>59</v>
      </c>
      <c r="M43" s="74" t="s">
        <v>60</v>
      </c>
      <c r="N43" s="74" t="s">
        <v>61</v>
      </c>
      <c r="O43" s="74" t="s">
        <v>62</v>
      </c>
      <c r="P43" s="74" t="s">
        <v>63</v>
      </c>
      <c r="Q43" s="74" t="s">
        <v>64</v>
      </c>
      <c r="R43" s="74" t="s">
        <v>65</v>
      </c>
      <c r="S43" s="74" t="s">
        <v>66</v>
      </c>
      <c r="T43" s="74" t="s">
        <v>67</v>
      </c>
      <c r="U43" s="74" t="s">
        <v>68</v>
      </c>
      <c r="V43" s="74" t="s">
        <v>105</v>
      </c>
    </row>
    <row r="44" spans="1:26">
      <c r="B44" s="74" t="s">
        <v>128</v>
      </c>
      <c r="C44" s="81" t="str">
        <f>SUM(C15,C40,C32,(C26))</f>
        <v>0</v>
      </c>
      <c r="D44" s="81" t="str">
        <f>SUM(D15,D40,D32,(D26))</f>
        <v>0</v>
      </c>
      <c r="E44" s="81" t="str">
        <f>SUM(E15,E40,E32,(E26))</f>
        <v>0</v>
      </c>
      <c r="F44" s="81" t="str">
        <f>SUM(F15,F40,F32,(F26))</f>
        <v>0</v>
      </c>
      <c r="G44" s="81" t="str">
        <f>SUM(G15,G40,G32,(G26))</f>
        <v>0</v>
      </c>
      <c r="H44" s="81" t="str">
        <f>SUM(H15,H40,H32,(H26))</f>
        <v>0</v>
      </c>
      <c r="I44" s="81" t="str">
        <f>SUM(I15,I40,I32,(I26))</f>
        <v>0</v>
      </c>
      <c r="J44" s="81" t="str">
        <f>SUM(J15,J40,J32,(J26))</f>
        <v>0</v>
      </c>
      <c r="K44" s="81" t="str">
        <f>SUM(K15,K40,K32,(K26))</f>
        <v>0</v>
      </c>
      <c r="L44" s="81" t="str">
        <f>SUM(L15,L40,L32,(L26))</f>
        <v>0</v>
      </c>
      <c r="M44" s="81" t="str">
        <f>SUM(M15,M40,M32,(M26))</f>
        <v>0</v>
      </c>
      <c r="N44" s="81" t="str">
        <f>SUM(N15,N40,N32,(N26))</f>
        <v>0</v>
      </c>
      <c r="O44" s="81" t="str">
        <f>SUM(O15,O40,O32,(O26))</f>
        <v>0</v>
      </c>
      <c r="P44" s="81" t="str">
        <f>SUM(P15,P40,P32,(P26))</f>
        <v>0</v>
      </c>
      <c r="Q44" s="81" t="str">
        <f>SUM(Q15,Q40,Q32,(Q26))</f>
        <v>0</v>
      </c>
      <c r="R44" s="81" t="str">
        <f>SUM(R15,R40,R32,(R26))</f>
        <v>0</v>
      </c>
      <c r="S44" s="81" t="str">
        <f>SUM(S15,S40,S32,(S26))</f>
        <v>0</v>
      </c>
      <c r="T44" s="81" t="str">
        <f>SUM(T15,T40,T32,(T26))</f>
        <v>0</v>
      </c>
      <c r="U44" s="81" t="str">
        <f>SUM(U15,U40,U32,(U26))</f>
        <v>0</v>
      </c>
      <c r="V44" s="81" t="str">
        <f>SUM(C44:U44)</f>
        <v>0</v>
      </c>
    </row>
    <row r="45" spans="1:26">
      <c r="B45" s="74" t="s">
        <v>46</v>
      </c>
      <c r="C45" s="74">
        <v>400</v>
      </c>
      <c r="D45" s="74">
        <v>50</v>
      </c>
      <c r="E45" s="74">
        <v>10</v>
      </c>
      <c r="F45" s="74">
        <v>1000</v>
      </c>
      <c r="G45" s="74">
        <v>2000</v>
      </c>
      <c r="H45" s="74">
        <v>500</v>
      </c>
      <c r="I45" s="74">
        <v>500</v>
      </c>
      <c r="J45" s="74">
        <v>500</v>
      </c>
      <c r="K45" s="74">
        <v>20</v>
      </c>
      <c r="L45" s="74">
        <v>21</v>
      </c>
      <c r="M45" s="74">
        <v>1000</v>
      </c>
      <c r="N45" s="74">
        <v>1000</v>
      </c>
      <c r="O45" s="74">
        <v>450</v>
      </c>
      <c r="P45" s="74">
        <v>50</v>
      </c>
      <c r="Q45" s="74">
        <v>100</v>
      </c>
      <c r="R45" s="74">
        <v>20</v>
      </c>
      <c r="S45" s="74">
        <v>30</v>
      </c>
      <c r="T45" s="74">
        <v>50</v>
      </c>
      <c r="U45" s="74">
        <v>100</v>
      </c>
      <c r="V45" s="74"/>
    </row>
    <row r="46" spans="1:26">
      <c r="B46" s="74" t="s">
        <v>129</v>
      </c>
      <c r="C46" s="81" t="str">
        <f>SUM(C44/C45)</f>
        <v>0</v>
      </c>
      <c r="D46" s="81" t="str">
        <f>SUM(D44/D45)</f>
        <v>0</v>
      </c>
      <c r="E46" s="81" t="str">
        <f>SUM(E44/E45)</f>
        <v>0</v>
      </c>
      <c r="F46" s="81" t="str">
        <f>SUM(F44/F45)</f>
        <v>0</v>
      </c>
      <c r="G46" s="81" t="str">
        <f>SUM(G44/G45)</f>
        <v>0</v>
      </c>
      <c r="H46" s="81" t="str">
        <f>SUM(H44/H45)</f>
        <v>0</v>
      </c>
      <c r="I46" s="81" t="str">
        <f>SUM(I44/I45)</f>
        <v>0</v>
      </c>
      <c r="J46" s="81" t="str">
        <f>SUM(J44/J45)</f>
        <v>0</v>
      </c>
      <c r="K46" s="81" t="str">
        <f>SUM(K44/K45)</f>
        <v>0</v>
      </c>
      <c r="L46" s="81" t="str">
        <f>SUM(L44/L45)</f>
        <v>0</v>
      </c>
      <c r="M46" s="81" t="str">
        <f>SUM(M44/M45)</f>
        <v>0</v>
      </c>
      <c r="N46" s="81" t="str">
        <f>SUM(N44/N45)</f>
        <v>0</v>
      </c>
      <c r="O46" s="81" t="str">
        <f>SUM(O44/O45)</f>
        <v>0</v>
      </c>
      <c r="P46" s="81" t="str">
        <f>SUM(P44/P45)</f>
        <v>0</v>
      </c>
      <c r="Q46" s="81" t="str">
        <f>SUM(Q44/Q45)</f>
        <v>0</v>
      </c>
      <c r="R46" s="81" t="str">
        <f>SUM(R44/R45)</f>
        <v>0</v>
      </c>
      <c r="S46" s="81" t="str">
        <f>SUM(S44/S45)</f>
        <v>0</v>
      </c>
      <c r="T46" s="81" t="str">
        <f>SUM(T44/T45)</f>
        <v>0</v>
      </c>
      <c r="U46" s="81" t="str">
        <f>SUM(U44/U45)</f>
        <v>0</v>
      </c>
      <c r="V46" s="74"/>
    </row>
    <row r="47" spans="1:26">
      <c r="B47" s="74" t="s">
        <v>130</v>
      </c>
      <c r="C47" s="85" t="str">
        <f>C46*3.7</f>
        <v>0</v>
      </c>
      <c r="D47" s="85" t="str">
        <f>D46*3.7</f>
        <v>0</v>
      </c>
      <c r="E47" s="85" t="str">
        <f>E46*3.7</f>
        <v>0</v>
      </c>
      <c r="F47" s="85" t="str">
        <f>F46*3.7</f>
        <v>0</v>
      </c>
      <c r="G47" s="85" t="str">
        <f>G46*3.7</f>
        <v>0</v>
      </c>
      <c r="H47" s="85" t="str">
        <f>H46*3.7</f>
        <v>0</v>
      </c>
      <c r="I47" s="85" t="str">
        <f>I46*3.7</f>
        <v>0</v>
      </c>
      <c r="J47" s="85" t="str">
        <f>J46*3.7</f>
        <v>0</v>
      </c>
      <c r="K47" s="85" t="str">
        <f>K46*3.7</f>
        <v>0</v>
      </c>
      <c r="L47" s="85" t="str">
        <f>L46*3.7</f>
        <v>0</v>
      </c>
      <c r="M47" s="85" t="str">
        <f>M46*3.7</f>
        <v>0</v>
      </c>
      <c r="N47" s="85" t="str">
        <f>N46*3.7</f>
        <v>0</v>
      </c>
      <c r="O47" s="85" t="str">
        <f>O46*3.7</f>
        <v>0</v>
      </c>
      <c r="P47" s="85" t="str">
        <f>P46*3.7</f>
        <v>0</v>
      </c>
      <c r="Q47" s="85" t="str">
        <f>Q46*3.7</f>
        <v>0</v>
      </c>
      <c r="R47" s="85" t="str">
        <f>R46*3.7</f>
        <v>0</v>
      </c>
      <c r="S47" s="85" t="str">
        <f>S46*3.7</f>
        <v>0</v>
      </c>
      <c r="T47" s="85" t="str">
        <f>T46*3.7</f>
        <v>0</v>
      </c>
      <c r="U47" s="85" t="str">
        <f>U46*3.7</f>
        <v>0</v>
      </c>
      <c r="V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