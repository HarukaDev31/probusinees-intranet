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<sst xmlns="http://schemas.openxmlformats.org/spreadsheetml/2006/main" uniqueCount="117">
  <si>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</si>
  <si>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</si>
  <si>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</si>
  <si>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</si>
  <si>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KATHY TERESA RONCAL PRETEL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</si>
  <si>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</si>
  <si>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</si>
  <si>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</si>
  <si>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</si>
  <si>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</si>
  <si>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</si>
  <si>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</si>
  <si>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</si>
  <si>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</si>
  <si>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</si>
  <si>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</si>
  <si>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</si>
  <si>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</si>
  <si>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</si>
  <si>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</si>
  <si>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</si>
  <si>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</si>
  <si>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</si>
  <si>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</si>
  <si>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</si>
  <si>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</si>
  <si>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</si>
  <si>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</si>
  <si>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</si>
  <si>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</si>
  <si>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KATHY TERESA RONCAL PRETEL 😁 un gusto saludarte!
        A continuación te envío la cotización final de tu importación📋📦.
        🙋‍♂️ PAGO PENDIENTE :
        ☑️Costo CBM: $0
        ☑️Impuestos: $187
        ☑️ Total: $187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</si>
  <si>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</si>
  <si>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</si>
  <si>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</si>
  <si>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</si>
  <si>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</si>
  <si>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</si>
  <si>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</si>
  <si>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</si>
  <si>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</si>
  <si>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</si>
  <si>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</si>
  <si>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</si>
  <si>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</si>
  <si>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</si>
  <si>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</si>
  <si>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</si>
  <si>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</si>
  <si>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</si>
  <si>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MINI PLANCHA PORTATIL</t>
  </si>
  <si>
    <t>ASPIRADORA PORTATIL PARA AUTOS</t>
  </si>
  <si>
    <t>LUZ LED CON SENSOR DE MOVIMIENTO</t>
  </si>
  <si>
    <t>TAZA CON CALENTADOR ELECTRICO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</si>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</sst>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7" fillId="3" borderId="0" applyFont="1" applyNumberFormat="1" applyFill="1" applyBorder="0" applyAlignment="1">
      <alignment horizontal="right" vertical="bottom" textRotation="0" wrapText="false" shrinkToFit="false"/>
    </xf>
    <xf xfId="0" fontId="8" numFmtId="167" fillId="3" borderId="0" applyFont="1" applyNumberFormat="1" applyFill="1" applyBorder="0" applyAlignment="1">
      <alignment horizontal="left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8" numFmtId="173" fillId="11" borderId="1" applyFont="1" applyNumberFormat="1" applyFill="1" applyBorder="1" applyAlignment="1">
      <alignment horizontal="center" vertical="bottom" textRotation="0" wrapText="false" shrinkToFit="false"/>
    </xf>
    <xf xfId="0" fontId="8" numFmtId="167" fillId="3" borderId="1" applyFont="1" applyNumberFormat="1" applyFill="1" applyBorder="1" applyAlignment="1">
      <alignment horizontal="left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bottom" textRotation="0" wrapText="false" shrinkToFit="false"/>
    </xf>
    <xf xfId="0" fontId="8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65.png"/><Relationship Id="rId2" Type="http://schemas.openxmlformats.org/officeDocument/2006/relationships/image" Target="../media/image166.png"/><Relationship Id="rId3" Type="http://schemas.openxmlformats.org/officeDocument/2006/relationships/image" Target="../media/image26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4" customHeight="1" ht="18">
      <c r="B2" s="42"/>
      <c r="C2" s="42"/>
      <c r="E2" s="47"/>
      <c r="F2" s="47"/>
      <c r="G2" s="47"/>
      <c r="H2" s="47"/>
      <c r="I2" s="47"/>
      <c r="J2" s="47"/>
      <c r="K2" s="47"/>
      <c r="L2" s="47"/>
    </row>
    <row r="3" spans="1:14" customHeight="1" ht="25.8">
      <c r="B3" s="42"/>
      <c r="C3" s="42"/>
      <c r="E3" s="58" t="s">
        <v>0</v>
      </c>
      <c r="F3" s="58"/>
      <c r="G3" s="58"/>
      <c r="H3" s="58"/>
      <c r="I3" s="58"/>
      <c r="J3" s="58"/>
    </row>
    <row r="4" spans="1:14" customHeight="1" ht="25.8">
      <c r="B4" s="42"/>
      <c r="C4" s="42"/>
      <c r="E4" s="59" t="s">
        <v>1</v>
      </c>
      <c r="F4" s="59"/>
      <c r="G4" s="59"/>
      <c r="H4" s="59"/>
      <c r="I4" s="59"/>
      <c r="J4" s="59"/>
      <c r="K4" s="13"/>
    </row>
    <row r="5" spans="1:14">
      <c r="B5" s="42"/>
      <c r="C5" s="42"/>
      <c r="D5" s="40"/>
    </row>
    <row r="6" spans="1:14">
      <c r="B6" s="42"/>
      <c r="C6" s="42"/>
      <c r="D6" s="25"/>
      <c r="F6" s="25"/>
      <c r="G6" s="25"/>
      <c r="H6" s="25"/>
    </row>
    <row r="7" spans="1:14">
      <c r="A7" s="42"/>
      <c r="B7" s="42"/>
      <c r="C7" s="42"/>
      <c r="E7" s="44" t="s">
        <v>2</v>
      </c>
      <c r="F7" s="44"/>
      <c r="G7" s="44"/>
      <c r="I7" s="42"/>
      <c r="J7" s="42"/>
      <c r="K7" s="42"/>
      <c r="L7" s="42"/>
    </row>
    <row r="8" spans="1:14">
      <c r="B8" s="8" t="s">
        <v>3</v>
      </c>
      <c r="C8" s="99" t="s">
        <v>4</v>
      </c>
      <c r="D8" s="38"/>
      <c r="E8" s="22" t="s">
        <v>5</v>
      </c>
      <c r="F8" s="49" t="s">
        <v>6</v>
      </c>
      <c r="G8" s="50"/>
      <c r="H8" s="37"/>
      <c r="I8" s="1" t="s">
        <v>7</v>
      </c>
      <c r="J8" s="66" t="str">
        <f>+'2'!F7</f>
        <v>0</v>
      </c>
      <c r="K8" s="66"/>
      <c r="L8" s="66"/>
    </row>
    <row r="9" spans="1:14">
      <c r="B9" s="8" t="s">
        <v>8</v>
      </c>
      <c r="C9" s="16"/>
      <c r="D9" s="38"/>
      <c r="E9" s="23" t="s">
        <v>9</v>
      </c>
      <c r="F9" s="45" t="str">
        <f>+TODAY()</f>
        <v>0</v>
      </c>
      <c r="G9" s="46"/>
      <c r="H9" s="37"/>
      <c r="I9" s="1" t="s">
        <v>10</v>
      </c>
      <c r="J9" s="98" t="s">
        <v>11</v>
      </c>
      <c r="K9" s="43"/>
      <c r="L9" s="43"/>
    </row>
    <row r="10" spans="1:14">
      <c r="B10" s="8" t="s">
        <v>12</v>
      </c>
      <c r="C10" s="16"/>
      <c r="D10" s="38"/>
      <c r="E10" s="27" t="s">
        <v>13</v>
      </c>
      <c r="F10" s="47" t="s">
        <v>14</v>
      </c>
      <c r="G10" s="48"/>
      <c r="H10" s="37"/>
      <c r="I10" s="1" t="s">
        <v>15</v>
      </c>
      <c r="J10" s="67"/>
      <c r="K10" s="98"/>
      <c r="L10" s="67"/>
    </row>
    <row r="11" spans="1:14">
      <c r="B11" s="8" t="s">
        <v>16</v>
      </c>
      <c r="C11" s="17"/>
      <c r="D11" s="39"/>
      <c r="E11" s="24" t="s">
        <v>17</v>
      </c>
      <c r="F11" s="52" t="s">
        <v>18</v>
      </c>
      <c r="G11" s="69"/>
      <c r="H11" s="37"/>
      <c r="I11" s="1" t="s">
        <v>19</v>
      </c>
      <c r="J11" s="97" t="str">
        <f>'2'!G7</f>
        <v>0</v>
      </c>
      <c r="K11" s="77"/>
      <c r="L11" s="77"/>
    </row>
    <row r="12" spans="1:14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4">
      <c r="B13" s="70" t="s">
        <v>20</v>
      </c>
      <c r="C13" s="70"/>
      <c r="D13" s="70"/>
      <c r="E13" s="70"/>
      <c r="F13" s="70"/>
      <c r="G13" s="70"/>
      <c r="H13" s="70"/>
      <c r="I13" s="70"/>
      <c r="J13" s="70"/>
      <c r="K13" s="10" t="s">
        <v>21</v>
      </c>
      <c r="L13" s="10" t="s">
        <v>22</v>
      </c>
    </row>
    <row r="14" spans="1:14">
      <c r="B14" s="71" t="s">
        <v>23</v>
      </c>
      <c r="C14" s="71"/>
      <c r="D14" s="71"/>
      <c r="E14" s="71"/>
      <c r="F14" s="71"/>
      <c r="G14" s="71"/>
      <c r="H14" s="71"/>
      <c r="I14" s="71"/>
      <c r="J14" s="71"/>
      <c r="K14" s="14" t="str">
        <f>'2'!G11</f>
        <v>0</v>
      </c>
      <c r="L14" s="9" t="s">
        <v>24</v>
      </c>
    </row>
    <row r="15" spans="1:14">
      <c r="B15" s="72" t="s">
        <v>25</v>
      </c>
      <c r="C15" s="72"/>
      <c r="D15" s="72"/>
      <c r="E15" s="72"/>
      <c r="F15" s="72"/>
      <c r="G15" s="72"/>
      <c r="H15" s="72"/>
      <c r="I15" s="72"/>
      <c r="J15" s="72"/>
      <c r="K15" s="15" t="str">
        <f>'2'!G14 + '2'!G17</f>
        <v>0</v>
      </c>
      <c r="L15" s="12" t="s">
        <v>24</v>
      </c>
    </row>
    <row r="16" spans="1:14">
      <c r="B16" s="55" t="s">
        <v>26</v>
      </c>
      <c r="C16" s="55"/>
      <c r="D16" s="55"/>
      <c r="E16" s="55"/>
      <c r="F16" s="55"/>
      <c r="G16" s="55"/>
      <c r="H16" s="55"/>
      <c r="I16" s="55"/>
      <c r="J16" s="55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3" t="s">
        <v>27</v>
      </c>
      <c r="C19" s="73"/>
      <c r="D19" s="73"/>
      <c r="E19" s="73"/>
      <c r="F19" s="73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3" t="s">
        <v>29</v>
      </c>
      <c r="C20" s="53"/>
      <c r="D20" s="53"/>
      <c r="E20" s="53"/>
      <c r="F20" s="53"/>
      <c r="G20" s="53"/>
      <c r="H20" s="53"/>
      <c r="I20" s="53"/>
      <c r="J20" s="20" t="str">
        <f>MAX('2'!C27:F27)</f>
        <v>0</v>
      </c>
      <c r="K20" s="14" t="str">
        <f>'2'!G28</f>
        <v>0</v>
      </c>
      <c r="L20" s="9" t="s">
        <v>24</v>
      </c>
      <c r="N20" t="s">
        <v>30</v>
      </c>
    </row>
    <row r="21" spans="1:14">
      <c r="B21" s="53" t="s">
        <v>31</v>
      </c>
      <c r="C21" s="53"/>
      <c r="D21" s="53"/>
      <c r="E21" s="53"/>
      <c r="F21" s="53"/>
      <c r="G21" s="53"/>
      <c r="H21" s="53"/>
      <c r="I21" s="53"/>
      <c r="J21" s="20">
        <v>0.16</v>
      </c>
      <c r="K21" s="14" t="str">
        <f>'2'!G29</f>
        <v>0</v>
      </c>
      <c r="L21" s="9" t="s">
        <v>24</v>
      </c>
    </row>
    <row r="22" spans="1:14">
      <c r="B22" s="52" t="s">
        <v>32</v>
      </c>
      <c r="C22" s="52"/>
      <c r="D22" s="52"/>
      <c r="E22" s="52"/>
      <c r="F22" s="52"/>
      <c r="G22" s="52"/>
      <c r="H22" s="52"/>
      <c r="I22" s="52"/>
      <c r="J22" s="20">
        <v>0.02</v>
      </c>
      <c r="K22" s="14" t="str">
        <f>'2'!G30</f>
        <v>0</v>
      </c>
      <c r="L22" s="9" t="s">
        <v>24</v>
      </c>
    </row>
    <row r="23" spans="1:14">
      <c r="B23" s="55" t="s">
        <v>33</v>
      </c>
      <c r="C23" s="55"/>
      <c r="D23" s="55"/>
      <c r="E23" s="55"/>
      <c r="F23" s="55"/>
      <c r="G23" s="55"/>
      <c r="H23" s="55"/>
      <c r="I23" s="55"/>
      <c r="J23" s="30"/>
      <c r="K23" s="31" t="str">
        <f>SUM(K20:K22)</f>
        <v>0</v>
      </c>
      <c r="L23" s="30" t="s">
        <v>24</v>
      </c>
    </row>
    <row r="24" spans="1:14">
      <c r="B24" s="53"/>
      <c r="C24" s="53"/>
      <c r="D24" s="53"/>
      <c r="E24" s="53"/>
      <c r="F24" s="53"/>
      <c r="G24" s="53"/>
      <c r="H24" s="53"/>
      <c r="I24" s="53"/>
      <c r="J24" s="2"/>
      <c r="K24" s="11"/>
      <c r="L24" s="9"/>
    </row>
    <row r="25" spans="1:14">
      <c r="B25" s="52" t="s">
        <v>34</v>
      </c>
      <c r="C25" s="52"/>
      <c r="D25" s="52"/>
      <c r="E25" s="52"/>
      <c r="F25" s="52"/>
      <c r="G25" s="52"/>
      <c r="H25" s="52"/>
      <c r="I25" s="52"/>
      <c r="J25" s="21" t="s">
        <v>35</v>
      </c>
      <c r="K25" s="15" t="str">
        <f>'2'!G31</f>
        <v>0</v>
      </c>
      <c r="L25" s="12" t="s">
        <v>24</v>
      </c>
    </row>
    <row r="26" spans="1:14">
      <c r="B26" s="55" t="s">
        <v>36</v>
      </c>
      <c r="C26" s="55"/>
      <c r="D26" s="55"/>
      <c r="E26" s="55"/>
      <c r="F26" s="55"/>
      <c r="G26" s="55"/>
      <c r="H26" s="55"/>
      <c r="I26" s="55"/>
      <c r="K26" s="14" t="str">
        <f>K23+K25</f>
        <v>0</v>
      </c>
      <c r="L26" s="9" t="s">
        <v>24</v>
      </c>
    </row>
    <row r="27" spans="1:14">
      <c r="B27" s="47"/>
      <c r="C27" s="47"/>
      <c r="D27" s="47"/>
      <c r="E27" s="47"/>
      <c r="F27" s="47"/>
      <c r="G27" s="47"/>
      <c r="H27" s="47"/>
      <c r="I27" s="47"/>
    </row>
    <row r="28" spans="1:14" customHeight="1" ht="15.6">
      <c r="B28" s="56" t="s">
        <v>37</v>
      </c>
      <c r="C28" s="56"/>
      <c r="D28" s="56"/>
      <c r="E28" s="56"/>
      <c r="F28" s="56"/>
      <c r="G28" s="56"/>
      <c r="H28" s="56"/>
      <c r="I28" s="56"/>
      <c r="J28" s="56"/>
      <c r="K28" s="28" t="s">
        <v>21</v>
      </c>
      <c r="L28" s="28" t="s">
        <v>22</v>
      </c>
    </row>
    <row r="29" spans="1:14">
      <c r="B29" s="53" t="s">
        <v>38</v>
      </c>
      <c r="C29" s="53"/>
      <c r="D29" s="53"/>
      <c r="E29" s="53"/>
      <c r="F29" s="53"/>
      <c r="G29" s="53"/>
      <c r="H29" s="53"/>
      <c r="I29" s="53"/>
      <c r="J29" s="53"/>
      <c r="K29" s="14" t="str">
        <f>K14</f>
        <v>0</v>
      </c>
      <c r="L29" s="9" t="s">
        <v>24</v>
      </c>
    </row>
    <row r="30" spans="1:14">
      <c r="B30" s="53" t="s">
        <v>39</v>
      </c>
      <c r="C30" s="53"/>
      <c r="D30" s="53"/>
      <c r="E30" s="53"/>
      <c r="F30" s="53"/>
      <c r="G30" s="53"/>
      <c r="H30" s="53"/>
      <c r="I30" s="53"/>
      <c r="J30" s="53"/>
      <c r="K30" s="14" t="str">
        <f>IF('2'!K7&lt;1, '2'!K7*J11, '2'!K7*J11)</f>
        <v>0</v>
      </c>
      <c r="L30" s="9" t="s">
        <v>24</v>
      </c>
    </row>
    <row r="31" spans="1:14">
      <c r="B31" s="52" t="s">
        <v>40</v>
      </c>
      <c r="C31" s="52"/>
      <c r="D31" s="52"/>
      <c r="E31" s="52"/>
      <c r="F31" s="52"/>
      <c r="G31" s="52"/>
      <c r="H31" s="52"/>
      <c r="I31" s="52"/>
      <c r="J31" s="52"/>
      <c r="K31" s="15" t="str">
        <f>K26</f>
        <v>0</v>
      </c>
      <c r="L31" s="12" t="s">
        <v>24</v>
      </c>
    </row>
    <row r="32" spans="1:14">
      <c r="B32" s="55" t="s">
        <v>41</v>
      </c>
      <c r="C32" s="55"/>
      <c r="D32" s="55"/>
      <c r="E32" s="55"/>
      <c r="F32" s="55"/>
      <c r="G32" s="55"/>
      <c r="H32" s="55"/>
      <c r="I32" s="55"/>
      <c r="J32" s="55"/>
      <c r="K32" s="14" t="str">
        <f>SUM(K29:K31)</f>
        <v>0</v>
      </c>
      <c r="L32" s="9" t="s">
        <v>24</v>
      </c>
    </row>
    <row r="33" spans="1:14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1:14">
      <c r="B34" s="63" t="s">
        <v>42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4">
      <c r="B35" s="19" t="s">
        <v>43</v>
      </c>
      <c r="C35" s="60" t="s">
        <v>44</v>
      </c>
      <c r="D35" s="61"/>
      <c r="E35" s="62"/>
      <c r="F35" s="4" t="s">
        <v>45</v>
      </c>
      <c r="G35" s="60" t="s">
        <v>46</v>
      </c>
      <c r="H35" s="62"/>
      <c r="I35" s="3" t="s">
        <v>47</v>
      </c>
      <c r="J35" s="26" t="s">
        <v>36</v>
      </c>
      <c r="K35" s="51" t="s">
        <v>48</v>
      </c>
      <c r="L35" s="51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2" t="str">
        <f>'2'!C8</f>
        <v>0</v>
      </c>
      <c r="H36" s="6"/>
      <c r="I36" s="92" t="str">
        <f>'2'!C46</f>
        <v>0</v>
      </c>
      <c r="J36" s="92" t="str">
        <f>'2'!C44</f>
        <v>0</v>
      </c>
      <c r="K36" s="93" t="str">
        <f>'2'!C47</f>
        <v>0</v>
      </c>
      <c r="L36" s="51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2" t="str">
        <f>'2'!D8</f>
        <v>0</v>
      </c>
      <c r="H37" s="6"/>
      <c r="I37" s="92" t="str">
        <f>'2'!D46</f>
        <v>0</v>
      </c>
      <c r="J37" s="92" t="str">
        <f>'2'!D44</f>
        <v>0</v>
      </c>
      <c r="K37" s="93" t="str">
        <f>'2'!D47</f>
        <v>0</v>
      </c>
      <c r="L37" s="51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2" t="str">
        <f>'2'!E8</f>
        <v>0</v>
      </c>
      <c r="H38" s="6"/>
      <c r="I38" s="92" t="str">
        <f>'2'!E46</f>
        <v>0</v>
      </c>
      <c r="J38" s="92" t="str">
        <f>'2'!E44</f>
        <v>0</v>
      </c>
      <c r="K38" s="93" t="str">
        <f>'2'!E47</f>
        <v>0</v>
      </c>
      <c r="L38" s="51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2" t="str">
        <f>'2'!F8</f>
        <v>0</v>
      </c>
      <c r="H39" s="5"/>
      <c r="I39" s="92" t="str">
        <f>'2'!F46</f>
        <v>0</v>
      </c>
      <c r="J39" s="92" t="str">
        <f>'2'!F44</f>
        <v>0</v>
      </c>
      <c r="K39" s="93" t="str">
        <f>'2'!F47</f>
        <v>0</v>
      </c>
      <c r="L39" s="94"/>
      <c r="M39" s="1"/>
    </row>
    <row r="40" spans="1:14" customHeight="1" ht="15.6">
      <c r="B40" s="95" t="s">
        <v>36</v>
      </c>
      <c r="C40" s="4"/>
      <c r="D40" s="4"/>
      <c r="E40" s="4"/>
      <c r="F40" s="5" t="str">
        <f>SUM(F36:F39)</f>
        <v>0</v>
      </c>
      <c r="G40" s="2"/>
      <c r="H40" s="2"/>
      <c r="I40" s="1"/>
      <c r="J40" s="96" t="str">
        <f>SUM(J36:J39)</f>
        <v>0</v>
      </c>
      <c r="K40" s="32"/>
      <c r="L40" s="33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4"/>
      <c r="L41" s="35"/>
    </row>
    <row r="42" spans="1:14" customHeight="1" ht="18">
      <c r="B42" s="29" t="s">
        <v>53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8" t="s">
        <v>54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14" customHeight="1" ht="18">
      <c r="B44" s="68" t="s">
        <v>55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spans="1:14" customHeight="1" ht="18">
      <c r="B45" s="68" t="s">
        <v>56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4" customHeight="1" ht="18">
      <c r="B46" s="68" t="s">
        <v>57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</row>
    <row r="47" spans="1:14" customHeight="1" ht="18">
      <c r="B47" s="68" t="s">
        <v>58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2"/>
      <c r="C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4" customHeight="1" ht="31.8">
      <c r="B50" s="42"/>
      <c r="C50" s="42"/>
      <c r="D50" s="41" t="s">
        <v>0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1:14" customHeight="1" ht="21">
      <c r="B51" s="42"/>
      <c r="C51" s="42"/>
      <c r="D51" s="57" t="s">
        <v>59</v>
      </c>
      <c r="E51" s="57"/>
      <c r="F51" s="57"/>
      <c r="G51" s="57"/>
      <c r="H51" s="57"/>
      <c r="I51" s="57"/>
    </row>
    <row r="52" spans="1:14">
      <c r="B52" s="42"/>
      <c r="C52" s="42"/>
    </row>
    <row r="53" spans="1:14">
      <c r="B53" s="42"/>
      <c r="C53" s="42"/>
    </row>
    <row r="54" spans="1:14" customHeight="1" ht="21">
      <c r="B54" s="74" t="s">
        <v>60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6" spans="1:14">
      <c r="B56" s="75" t="s">
        <v>61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</row>
    <row r="57" spans="1:14">
      <c r="B57" s="75" t="s">
        <v>62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</row>
    <row r="58" spans="1:14">
      <c r="B58" s="53" t="s">
        <v>63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4">
      <c r="B59" s="75" t="s">
        <v>64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4">
      <c r="B60" s="75" t="s">
        <v>65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1:14">
      <c r="B61" s="53" t="s">
        <v>66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4">
      <c r="B62" s="75" t="s">
        <v>67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1:14">
      <c r="B63" s="75" t="s">
        <v>68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</row>
    <row r="64" spans="1:14">
      <c r="B64" s="75" t="s">
        <v>69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</row>
    <row r="65" spans="1:14">
      <c r="B65" s="75" t="s">
        <v>70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4">
      <c r="B66" s="75" t="s">
        <v>71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</row>
    <row r="67" spans="1:14">
      <c r="B67" s="75" t="s">
        <v>72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</row>
    <row r="68" spans="1:14">
      <c r="B68" s="75" t="s">
        <v>73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4">
      <c r="B69" s="75" t="s">
        <v>74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1:14">
      <c r="B70" s="75" t="s">
        <v>75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</row>
    <row r="71" spans="1:14">
      <c r="B71" s="75" t="s">
        <v>76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</row>
    <row r="72" spans="1:14">
      <c r="B72" s="75" t="s">
        <v>77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1:14">
      <c r="B73" s="71" t="s">
        <v>78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75" t="s">
        <v>79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4">
      <c r="B75" s="71" t="s">
        <v>80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5" t="s">
        <v>81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</row>
    <row r="77" spans="1:14">
      <c r="B77" s="75" t="s">
        <v>82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1:14">
      <c r="B78" s="75" t="s">
        <v>83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4">
      <c r="B79" s="75" t="s">
        <v>84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1:14">
      <c r="B80" s="75" t="s">
        <v>85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4">
      <c r="A81" s="36"/>
      <c r="B81" s="76" t="s">
        <v>86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4">
      <c r="A82" s="36"/>
      <c r="B82" s="75" t="s">
        <v>87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4">
      <c r="A83" s="36"/>
      <c r="B83" s="76" t="s">
        <v>88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</row>
    <row r="85" spans="1:14">
      <c r="C85" s="42"/>
      <c r="D85" s="42"/>
      <c r="E85" s="42"/>
      <c r="F85" s="42"/>
      <c r="G85" s="42"/>
      <c r="H85" s="42"/>
      <c r="I85" s="42"/>
    </row>
    <row r="86" spans="1:14">
      <c r="C86" s="42"/>
      <c r="D86" s="42"/>
      <c r="E86" s="42"/>
      <c r="F86" s="42"/>
      <c r="G86" s="42"/>
      <c r="H86" s="42"/>
      <c r="I86" s="42"/>
    </row>
    <row r="87" spans="1:14">
      <c r="C87" s="42"/>
      <c r="D87" s="42"/>
      <c r="E87" s="42"/>
      <c r="F87" s="42"/>
      <c r="G87" s="42"/>
      <c r="H87" s="42"/>
      <c r="I87" s="42"/>
    </row>
    <row r="88" spans="1:14">
      <c r="C88" s="42"/>
      <c r="D88" s="42"/>
      <c r="E88" s="42"/>
      <c r="F88" s="42"/>
      <c r="G88" s="42"/>
      <c r="H88" s="42"/>
      <c r="I88" s="42"/>
    </row>
    <row r="89" spans="1:14">
      <c r="C89" s="42"/>
      <c r="D89" s="42"/>
      <c r="E89" s="42"/>
      <c r="F89" s="42"/>
      <c r="G89" s="42"/>
      <c r="H89" s="42"/>
      <c r="I89" s="42"/>
    </row>
    <row r="90" spans="1:14">
      <c r="C90" s="42"/>
      <c r="D90" s="42"/>
      <c r="E90" s="42"/>
      <c r="F90" s="42"/>
      <c r="G90" s="42"/>
      <c r="H90" s="42"/>
      <c r="I90" s="42"/>
    </row>
    <row r="91" spans="1:14">
      <c r="C91" s="42"/>
      <c r="D91" s="42"/>
      <c r="E91" s="42"/>
      <c r="F91" s="42"/>
      <c r="G91" s="42"/>
      <c r="H91" s="42"/>
      <c r="I91" s="42"/>
    </row>
    <row r="92" spans="1:14" customHeight="1" ht="15.6">
      <c r="C92" s="42"/>
      <c r="D92" s="42"/>
      <c r="E92" s="42"/>
      <c r="F92" s="42"/>
      <c r="G92" s="42"/>
      <c r="H92" s="42"/>
      <c r="I92" s="42"/>
    </row>
    <row r="93" spans="1:14" customHeight="1" ht="15.6">
      <c r="C93" s="42"/>
      <c r="D93" s="42"/>
      <c r="E93" s="42"/>
      <c r="F93" s="42"/>
      <c r="G93" s="42"/>
      <c r="H93" s="42"/>
      <c r="I93" s="42"/>
    </row>
    <row r="94" spans="1:14">
      <c r="C94" s="42"/>
      <c r="D94" s="42"/>
      <c r="E94" s="42"/>
      <c r="F94" s="42"/>
      <c r="G94" s="42"/>
      <c r="H94" s="42"/>
      <c r="I94" s="42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252" bestFit="true" customWidth="true" style="0"/>
    <col min="3" max="3" width="25.85083" bestFit="true" customWidth="true" style="0"/>
    <col min="4" max="4" width="36.419678" bestFit="true" customWidth="true" style="0"/>
    <col min="5" max="5" width="38.847656" bestFit="true" customWidth="true" style="0"/>
    <col min="6" max="6" width="35.2771" bestFit="true" customWidth="true" style="0"/>
    <col min="7" max="7" width="10.568848" bestFit="true" customWidth="true" style="0"/>
  </cols>
  <sheetData>
    <row r="3" spans="1:11">
      <c r="B3" s="79" t="s">
        <v>89</v>
      </c>
      <c r="C3" s="78"/>
      <c r="D3" s="78"/>
      <c r="E3" s="78"/>
      <c r="F3" s="78"/>
      <c r="G3" s="78"/>
    </row>
    <row r="5" spans="1:11">
      <c r="B5" s="82" t="s">
        <v>90</v>
      </c>
      <c r="C5" s="84" t="s">
        <v>49</v>
      </c>
      <c r="D5" s="84" t="s">
        <v>50</v>
      </c>
      <c r="E5" s="84" t="s">
        <v>51</v>
      </c>
      <c r="F5" s="84" t="s">
        <v>52</v>
      </c>
      <c r="G5" s="84" t="s">
        <v>91</v>
      </c>
    </row>
    <row r="6" spans="1:11">
      <c r="B6" s="78" t="s">
        <v>92</v>
      </c>
      <c r="C6" s="78">
        <v>0</v>
      </c>
      <c r="D6" s="78">
        <v>0</v>
      </c>
      <c r="E6" s="78">
        <v>0</v>
      </c>
      <c r="F6" s="78">
        <v>0</v>
      </c>
      <c r="G6" s="86">
        <v>0</v>
      </c>
      <c r="J6" s="80" t="s">
        <v>93</v>
      </c>
      <c r="K6" s="80" t="s">
        <v>94</v>
      </c>
    </row>
    <row r="7" spans="1:11">
      <c r="B7" s="78" t="s">
        <v>95</v>
      </c>
      <c r="C7" s="78">
        <v>0</v>
      </c>
      <c r="D7" s="78">
        <v>0</v>
      </c>
      <c r="E7" s="78">
        <v>0</v>
      </c>
      <c r="F7" s="78">
        <v>0</v>
      </c>
      <c r="G7" s="87"/>
      <c r="J7" s="81" t="s">
        <v>18</v>
      </c>
      <c r="K7" s="81"/>
    </row>
    <row r="8" spans="1:11">
      <c r="B8" s="78" t="s">
        <v>96</v>
      </c>
      <c r="C8" s="85">
        <v>1.69</v>
      </c>
      <c r="D8" s="85">
        <v>3.8</v>
      </c>
      <c r="E8" s="85">
        <v>0.7</v>
      </c>
      <c r="F8" s="85">
        <v>1.76</v>
      </c>
      <c r="G8" s="78"/>
    </row>
    <row r="9" spans="1:11">
      <c r="B9" s="83" t="s">
        <v>97</v>
      </c>
      <c r="C9" s="85">
        <v>0</v>
      </c>
      <c r="D9" s="85">
        <v>0</v>
      </c>
      <c r="E9" s="85">
        <v>0</v>
      </c>
      <c r="F9" s="85">
        <v>0</v>
      </c>
      <c r="G9" s="78"/>
    </row>
    <row r="10" spans="1:11">
      <c r="B10" s="78" t="s">
        <v>98</v>
      </c>
      <c r="C10" s="78">
        <v>100</v>
      </c>
      <c r="D10" s="78">
        <v>100</v>
      </c>
      <c r="E10" s="78">
        <v>100</v>
      </c>
      <c r="F10" s="78">
        <v>100</v>
      </c>
      <c r="G10" s="78" t="str">
        <f>SUM(C10:F10)</f>
        <v>0</v>
      </c>
    </row>
    <row r="11" spans="1:11">
      <c r="B11" s="78" t="s">
        <v>99</v>
      </c>
      <c r="C11" s="85" t="str">
        <f>C8*C10</f>
        <v>0</v>
      </c>
      <c r="D11" s="85" t="str">
        <f>D8*D10</f>
        <v>0</v>
      </c>
      <c r="E11" s="85" t="str">
        <f>E8*E10</f>
        <v>0</v>
      </c>
      <c r="F11" s="85" t="str">
        <f>F8*F10</f>
        <v>0</v>
      </c>
      <c r="G11" s="90" t="str">
        <f>SUM(C11:F11)</f>
        <v>0</v>
      </c>
    </row>
    <row r="12" spans="1:11">
      <c r="B12" s="83" t="s">
        <v>100</v>
      </c>
      <c r="C12" s="85" t="str">
        <f>C10*C9</f>
        <v>0</v>
      </c>
      <c r="D12" s="85" t="str">
        <f>D10*D9</f>
        <v>0</v>
      </c>
      <c r="E12" s="85" t="str">
        <f>E10*E9</f>
        <v>0</v>
      </c>
      <c r="F12" s="85" t="str">
        <f>F10*F9</f>
        <v>0</v>
      </c>
      <c r="G12" s="90" t="str">
        <f>SUM(C12:F12)</f>
        <v>0</v>
      </c>
    </row>
    <row r="13" spans="1:11">
      <c r="B13" s="78" t="s">
        <v>101</v>
      </c>
      <c r="C13" s="88" t="str">
        <f>C11/G11</f>
        <v>0</v>
      </c>
      <c r="D13" s="88" t="str">
        <f>D11/G11</f>
        <v>0</v>
      </c>
      <c r="E13" s="88" t="str">
        <f>E11/G11</f>
        <v>0</v>
      </c>
      <c r="F13" s="88" t="str">
        <f>F11/G11</f>
        <v>0</v>
      </c>
      <c r="G13" s="78"/>
    </row>
    <row r="14" spans="1:11">
      <c r="B14" s="78" t="s">
        <v>102</v>
      </c>
      <c r="C14" s="85" t="str">
        <f>ROUNDUP(G14*C13,2)</f>
        <v>0</v>
      </c>
      <c r="D14" s="85" t="str">
        <f>ROUNDUP(G14*D13,2)</f>
        <v>0</v>
      </c>
      <c r="E14" s="85" t="str">
        <f>ROUNDUP(G14*E13,2)</f>
        <v>0</v>
      </c>
      <c r="F14" s="85" t="str">
        <f>ROUNDUP(G14*F13,2)</f>
        <v>0</v>
      </c>
      <c r="G14" s="90" t="str">
        <f>IF(G7&lt;1, ROUNDUP(K7*0.6, 0), ROUNDUP(K7*0.6*G7, 0))</f>
        <v>0</v>
      </c>
    </row>
    <row r="15" spans="1:11">
      <c r="B15" s="78" t="s">
        <v>103</v>
      </c>
      <c r="C15" s="85" t="str">
        <f>ROUNDUP(C11+C14,2)</f>
        <v>0</v>
      </c>
      <c r="D15" s="85" t="str">
        <f>ROUNDUP(D11+D14,2)</f>
        <v>0</v>
      </c>
      <c r="E15" s="85" t="str">
        <f>ROUNDUP(E11+E14,2)</f>
        <v>0</v>
      </c>
      <c r="F15" s="85" t="str">
        <f>ROUNDUP(F11+F14,2)</f>
        <v>0</v>
      </c>
      <c r="G15" s="90" t="str">
        <f>SUM(C15:F15)</f>
        <v>0</v>
      </c>
    </row>
    <row r="16" spans="1:11">
      <c r="B16" s="83" t="s">
        <v>104</v>
      </c>
      <c r="C16" s="85" t="str">
        <f>ROUNDUP(C12+C14,2)</f>
        <v>0</v>
      </c>
      <c r="D16" s="85" t="str">
        <f>ROUNDUP(D12+D14,2)</f>
        <v>0</v>
      </c>
      <c r="E16" s="85" t="str">
        <f>ROUNDUP(E12+E14,2)</f>
        <v>0</v>
      </c>
      <c r="F16" s="85" t="str">
        <f>ROUNDUP(F12+F14,2)</f>
        <v>0</v>
      </c>
      <c r="G16" s="90" t="str">
        <f>SUM(C16:F16)</f>
        <v>0</v>
      </c>
    </row>
    <row r="17" spans="1:11">
      <c r="B17" s="78" t="s">
        <v>105</v>
      </c>
      <c r="C17" s="85" t="str">
        <f>IF(G15&gt;5000,ROUND(100*C13,2),ROUND(50*C13,2))</f>
        <v>0</v>
      </c>
      <c r="D17" s="85" t="str">
        <f>IF(G15&gt;5000,ROUND(100*D13,2),ROUND(50*D13,2))</f>
        <v>0</v>
      </c>
      <c r="E17" s="85" t="str">
        <f>IF(G15&gt;5000,ROUND(100*E13,2),ROUND(50*E13,2))</f>
        <v>0</v>
      </c>
      <c r="F17" s="85" t="str">
        <f>IF(G15&gt;5000,ROUND(100*F13,2),ROUND(50*F13,2))</f>
        <v>0</v>
      </c>
      <c r="G17" s="90" t="str">
        <f>SUM(C17:F17)</f>
        <v>0</v>
      </c>
    </row>
    <row r="18" spans="1:11">
      <c r="B18" s="78" t="s">
        <v>106</v>
      </c>
      <c r="C18" s="85" t="str">
        <f>ROUNDUP(C15+C17,2)</f>
        <v>0</v>
      </c>
      <c r="D18" s="85" t="str">
        <f>ROUNDUP(D15+D17,2)</f>
        <v>0</v>
      </c>
      <c r="E18" s="85" t="str">
        <f>ROUNDUP(E15+E17,2)</f>
        <v>0</v>
      </c>
      <c r="F18" s="85" t="str">
        <f>ROUNDUP(F15+F17,2)</f>
        <v>0</v>
      </c>
      <c r="G18" s="90" t="str">
        <f>SUM(C18:F18)</f>
        <v>0</v>
      </c>
    </row>
    <row r="19" spans="1:11">
      <c r="B19" s="83" t="s">
        <v>107</v>
      </c>
      <c r="C19" s="85" t="str">
        <f>ROUNDUP(C16+C17,2)</f>
        <v>0</v>
      </c>
      <c r="D19" s="85" t="str">
        <f>ROUNDUP(D16+D17,2)</f>
        <v>0</v>
      </c>
      <c r="E19" s="85" t="str">
        <f>ROUNDUP(E16+E17,2)</f>
        <v>0</v>
      </c>
      <c r="F19" s="85" t="str">
        <f>ROUNDUP(F16+F17,2)</f>
        <v>0</v>
      </c>
      <c r="G19" s="90" t="str">
        <f>SUM(C19:F19)</f>
        <v>0</v>
      </c>
    </row>
    <row r="23" spans="1:11">
      <c r="B23" s="79" t="s">
        <v>108</v>
      </c>
      <c r="C23" s="78"/>
      <c r="D23" s="78"/>
      <c r="E23" s="78"/>
    </row>
    <row r="26" spans="1:11">
      <c r="B26" s="78" t="s">
        <v>109</v>
      </c>
      <c r="C26" s="85">
        <v>0</v>
      </c>
      <c r="D26" s="85">
        <v>0</v>
      </c>
      <c r="E26" s="85">
        <v>0</v>
      </c>
      <c r="F26" s="85">
        <v>0</v>
      </c>
      <c r="G26" s="85" t="str">
        <f>SUM(C26:F26)</f>
        <v>0</v>
      </c>
    </row>
    <row r="27" spans="1:11">
      <c r="C27" s="91">
        <v>0</v>
      </c>
      <c r="D27" s="91">
        <v>0</v>
      </c>
      <c r="E27" s="91">
        <v>0</v>
      </c>
      <c r="F27" s="91">
        <v>0</v>
      </c>
      <c r="G27" s="88" t="str">
        <f>SUM(C27:F27)</f>
        <v>0</v>
      </c>
    </row>
    <row r="28" spans="1:11">
      <c r="B28" s="78" t="s">
        <v>110</v>
      </c>
      <c r="C28" s="85" t="str">
        <f>MAX(C19,C18)*C27</f>
        <v>0</v>
      </c>
      <c r="D28" s="85" t="str">
        <f>MAX(D19,D18)*D27</f>
        <v>0</v>
      </c>
      <c r="E28" s="85" t="str">
        <f>MAX(E19,E18)*E27</f>
        <v>0</v>
      </c>
      <c r="F28" s="85" t="str">
        <f>MAX(F19,F18)*F27</f>
        <v>0</v>
      </c>
      <c r="G28" s="85" t="str">
        <f>SUM(C28:F28)</f>
        <v>0</v>
      </c>
    </row>
    <row r="29" spans="1:11">
      <c r="B29" s="78" t="s">
        <v>31</v>
      </c>
      <c r="C29" s="85" t="str">
        <f>0.16*(MAX(C19,C18)+C28)</f>
        <v>0</v>
      </c>
      <c r="D29" s="85" t="str">
        <f>0.16*(MAX(D19,D18)+D28)</f>
        <v>0</v>
      </c>
      <c r="E29" s="85" t="str">
        <f>0.16*(MAX(E19,E18)+E28)</f>
        <v>0</v>
      </c>
      <c r="F29" s="85" t="str">
        <f>0.16*(MAX(F19,F18)+F28)</f>
        <v>0</v>
      </c>
      <c r="G29" s="85" t="str">
        <f>SUM(C29:F29)</f>
        <v>0</v>
      </c>
    </row>
    <row r="30" spans="1:11">
      <c r="B30" s="78" t="s">
        <v>32</v>
      </c>
      <c r="C30" s="85" t="str">
        <f>0.02*(MAX(C19,C18)+C28)</f>
        <v>0</v>
      </c>
      <c r="D30" s="85" t="str">
        <f>0.02*(MAX(D19,D18)+D28)</f>
        <v>0</v>
      </c>
      <c r="E30" s="85" t="str">
        <f>0.02*(MAX(E19,E18)+E28)</f>
        <v>0</v>
      </c>
      <c r="F30" s="85" t="str">
        <f>0.02*(MAX(F19,F18)+F28)</f>
        <v>0</v>
      </c>
      <c r="G30" s="85" t="str">
        <f>SUM(C30:F30)</f>
        <v>0</v>
      </c>
    </row>
    <row r="31" spans="1:11">
      <c r="B31" s="78" t="s">
        <v>111</v>
      </c>
      <c r="C31" s="85" t="str">
        <f>0.035*(MAX(C18,C19) +C28+C29+C30)</f>
        <v>0</v>
      </c>
      <c r="D31" s="85" t="str">
        <f>0.035*(MAX(D18,D19) +D28+D29+D30)</f>
        <v>0</v>
      </c>
      <c r="E31" s="85" t="str">
        <f>0.035*(MAX(E18,E19) +E28+E29+E30)</f>
        <v>0</v>
      </c>
      <c r="F31" s="85" t="str">
        <f>0.035*(MAX(F18,F19) +F28+F29+F30)</f>
        <v>0</v>
      </c>
      <c r="G31" s="85" t="str">
        <f>SUM(C31:F31)</f>
        <v>0</v>
      </c>
    </row>
    <row r="32" spans="1:11">
      <c r="B32" s="78" t="s">
        <v>36</v>
      </c>
      <c r="C32" s="85" t="str">
        <f>SUM(C28:C31)</f>
        <v>0</v>
      </c>
      <c r="D32" s="85" t="str">
        <f>SUM(D28:D31)</f>
        <v>0</v>
      </c>
      <c r="E32" s="85" t="str">
        <f>SUM(E28:E31)</f>
        <v>0</v>
      </c>
      <c r="F32" s="85" t="str">
        <f>SUM(F28:F31)</f>
        <v>0</v>
      </c>
      <c r="G32" s="85" t="str">
        <f>SUM(G28:G31)</f>
        <v>0</v>
      </c>
    </row>
    <row r="37" spans="1:11">
      <c r="B37" s="79" t="s">
        <v>112</v>
      </c>
      <c r="C37" s="78"/>
      <c r="D37" s="78"/>
      <c r="E37" s="78"/>
    </row>
    <row r="40" spans="1:11">
      <c r="B40" s="78" t="s">
        <v>113</v>
      </c>
      <c r="C40" s="85" t="str">
        <f>C13*G40</f>
        <v>0</v>
      </c>
      <c r="D40" s="85" t="str">
        <f>D13*G40</f>
        <v>0</v>
      </c>
      <c r="E40" s="85" t="str">
        <f>E13*G40</f>
        <v>0</v>
      </c>
      <c r="F40" s="85" t="str">
        <f>F13*G40</f>
        <v>0</v>
      </c>
      <c r="G40" s="85" t="str">
        <f>IF(G7&lt;1, ROUNDUP(K7*0.4, 0), ROUNDUP(K7*0.4*G7, 0))</f>
        <v>0</v>
      </c>
    </row>
    <row r="41" spans="1:11">
      <c r="B41"/>
    </row>
    <row r="43" spans="1:11">
      <c r="B43" s="78" t="s">
        <v>113</v>
      </c>
      <c r="C43" s="78" t="s">
        <v>49</v>
      </c>
      <c r="D43" s="78" t="s">
        <v>50</v>
      </c>
      <c r="E43" s="78" t="s">
        <v>51</v>
      </c>
      <c r="F43" s="78" t="s">
        <v>52</v>
      </c>
      <c r="G43" s="78" t="s">
        <v>91</v>
      </c>
    </row>
    <row r="44" spans="1:11">
      <c r="B44" s="78" t="s">
        <v>114</v>
      </c>
      <c r="C44" s="85" t="str">
        <f>SUM(C15,C40,C32,(C26*C10))</f>
        <v>0</v>
      </c>
      <c r="D44" s="85" t="str">
        <f>SUM(D15,D40,D32,(D26*D10))</f>
        <v>0</v>
      </c>
      <c r="E44" s="85" t="str">
        <f>SUM(E15,E40,E32,(E26*E10))</f>
        <v>0</v>
      </c>
      <c r="F44" s="85" t="str">
        <f>SUM(F15,F40,F32,(F26*F10))</f>
        <v>0</v>
      </c>
      <c r="G44" s="85" t="str">
        <f>SUM(C44:F44)</f>
        <v>0</v>
      </c>
    </row>
    <row r="45" spans="1:11">
      <c r="B45" s="78" t="s">
        <v>45</v>
      </c>
      <c r="C45" s="78">
        <v>100</v>
      </c>
      <c r="D45" s="78">
        <v>100</v>
      </c>
      <c r="E45" s="78">
        <v>100</v>
      </c>
      <c r="F45" s="78">
        <v>100</v>
      </c>
      <c r="G45" s="78"/>
    </row>
    <row r="46" spans="1:11">
      <c r="B46" s="78" t="s">
        <v>115</v>
      </c>
      <c r="C46" s="85" t="str">
        <f>ROUND(SUM(C44/C45),2)</f>
        <v>0</v>
      </c>
      <c r="D46" s="85" t="str">
        <f>ROUND(SUM(D44/D45),2)</f>
        <v>0</v>
      </c>
      <c r="E46" s="85" t="str">
        <f>ROUND(SUM(E44/E45),2)</f>
        <v>0</v>
      </c>
      <c r="F46" s="85" t="str">
        <f>ROUND(SUM(F44/F45),2)</f>
        <v>0</v>
      </c>
      <c r="G46" s="78"/>
    </row>
    <row r="47" spans="1:11">
      <c r="B47" s="78" t="s">
        <v>116</v>
      </c>
      <c r="C47" s="89" t="str">
        <f>ROUND(C46*3.7,2)</f>
        <v>0</v>
      </c>
      <c r="D47" s="89" t="str">
        <f>ROUND(D46*3.7,2)</f>
        <v>0</v>
      </c>
      <c r="E47" s="89" t="str">
        <f>ROUND(E46*3.7,2)</f>
        <v>0</v>
      </c>
      <c r="F47" s="89" t="str">
        <f>ROUND(F46*3.7,2)</f>
        <v>0</v>
      </c>
      <c r="G47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