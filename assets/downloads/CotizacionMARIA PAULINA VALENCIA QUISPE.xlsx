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<sst xmlns="http://schemas.openxmlformats.org/spreadsheetml/2006/main" uniqueCount="118">
  <si>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</si>
  <si>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</si>
  <si>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</si>
  <si>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</si>
  <si>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MARIA PAULINA VALENCIA QUISPE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</si>
  <si>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</si>
  <si>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</si>
  <si>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</si>
  <si>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</si>
  <si>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</si>
  <si>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</si>
  <si>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</si>
  <si>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</si>
  <si>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</si>
  <si>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</si>
  <si>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</si>
  <si>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</si>
  <si>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</si>
  <si>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</si>
  <si>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</si>
  <si>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</si>
  <si>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</si>
  <si>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</si>
  <si>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</si>
  <si>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</si>
  <si>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</si>
  <si>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</si>
  <si>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</si>
  <si>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</si>
  <si>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</si>
  <si>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MARIA PAULINA VALENCIA QUISPE 😁 un gusto saludarte!
        A continuación te envío la cotización final de tu importación📋📦.
        🙋‍♂️ PAGO PENDIENTE :
        ☑️Costo CBM: $0
        ☑️Impuestos: $409.6
        ☑️ Total: $409.6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</si>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</sst>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3.png"/><Relationship Id="rId2" Type="http://schemas.openxmlformats.org/officeDocument/2006/relationships/image" Target="../media/image124.png"/><Relationship Id="rId3" Type="http://schemas.openxmlformats.org/officeDocument/2006/relationships/image" Target="../media/image22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/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96"/>
      <c r="L10" s="63"/>
    </row>
    <row r="11" spans="1:14">
      <c r="B11" s="8" t="s">
        <v>16</v>
      </c>
      <c r="C11" s="17"/>
      <c r="D11" s="35"/>
      <c r="E11" s="24" t="s">
        <v>17</v>
      </c>
      <c r="F11" s="48" t="s">
        <v>18</v>
      </c>
      <c r="G11" s="65"/>
      <c r="H11" s="33"/>
      <c r="I11" s="1" t="s">
        <v>19</v>
      </c>
      <c r="J11" s="95" t="str">
        <f>'2'!I7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20</v>
      </c>
      <c r="C13" s="66"/>
      <c r="D13" s="66"/>
      <c r="E13" s="66"/>
      <c r="F13" s="66"/>
      <c r="G13" s="66"/>
      <c r="H13" s="66"/>
      <c r="I13" s="66"/>
      <c r="J13" s="66"/>
      <c r="K13" s="10" t="s">
        <v>21</v>
      </c>
      <c r="L13" s="10" t="s">
        <v>22</v>
      </c>
    </row>
    <row r="14" spans="1:14">
      <c r="B14" s="67" t="s">
        <v>23</v>
      </c>
      <c r="C14" s="67"/>
      <c r="D14" s="67"/>
      <c r="E14" s="67"/>
      <c r="F14" s="67"/>
      <c r="G14" s="67"/>
      <c r="H14" s="67"/>
      <c r="I14" s="67"/>
      <c r="J14" s="67"/>
      <c r="K14" s="14" t="str">
        <f>'2'!I11</f>
        <v>0</v>
      </c>
      <c r="L14" s="9" t="s">
        <v>24</v>
      </c>
    </row>
    <row r="15" spans="1:14">
      <c r="B15" s="68" t="s">
        <v>25</v>
      </c>
      <c r="C15" s="68"/>
      <c r="D15" s="68"/>
      <c r="E15" s="68"/>
      <c r="F15" s="68"/>
      <c r="G15" s="68"/>
      <c r="H15" s="68"/>
      <c r="I15" s="68"/>
      <c r="J15" s="68"/>
      <c r="K15" s="15" t="str">
        <f>'2'!I14 + '2'!I17</f>
        <v>0</v>
      </c>
      <c r="L15" s="12" t="s">
        <v>24</v>
      </c>
    </row>
    <row r="16" spans="1:14">
      <c r="B16" s="51" t="s">
        <v>26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27</v>
      </c>
      <c r="C19" s="69"/>
      <c r="D19" s="69"/>
      <c r="E19" s="69"/>
      <c r="F19" s="69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49" t="s">
        <v>29</v>
      </c>
      <c r="C20" s="49"/>
      <c r="D20" s="49"/>
      <c r="E20" s="49"/>
      <c r="F20" s="49"/>
      <c r="G20" s="49"/>
      <c r="H20" s="49"/>
      <c r="I20" s="49"/>
      <c r="J20" s="20" t="str">
        <f>MAX('2'!C27:H27)</f>
        <v>0</v>
      </c>
      <c r="K20" s="14" t="str">
        <f>'2'!I28</f>
        <v>0</v>
      </c>
      <c r="L20" s="9" t="s">
        <v>24</v>
      </c>
      <c r="N20" t="s">
        <v>30</v>
      </c>
    </row>
    <row r="21" spans="1:14">
      <c r="B21" s="49" t="s">
        <v>31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'2'!I29</f>
        <v>0</v>
      </c>
      <c r="L21" s="9" t="s">
        <v>24</v>
      </c>
    </row>
    <row r="22" spans="1:14">
      <c r="B22" s="48" t="s">
        <v>32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'2'!I30</f>
        <v>0</v>
      </c>
      <c r="L22" s="9" t="s">
        <v>24</v>
      </c>
    </row>
    <row r="23" spans="1:14">
      <c r="B23" s="51" t="s">
        <v>33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24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34</v>
      </c>
      <c r="C25" s="48"/>
      <c r="D25" s="48"/>
      <c r="E25" s="48"/>
      <c r="F25" s="48"/>
      <c r="G25" s="48"/>
      <c r="H25" s="48"/>
      <c r="I25" s="48"/>
      <c r="J25" s="21" t="s">
        <v>35</v>
      </c>
      <c r="K25" s="15" t="str">
        <f>'2'!I31</f>
        <v>0</v>
      </c>
      <c r="L25" s="12" t="s">
        <v>24</v>
      </c>
    </row>
    <row r="26" spans="1:14">
      <c r="B26" s="51" t="s">
        <v>36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24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37</v>
      </c>
      <c r="C28" s="52"/>
      <c r="D28" s="52"/>
      <c r="E28" s="52"/>
      <c r="F28" s="52"/>
      <c r="G28" s="52"/>
      <c r="H28" s="52"/>
      <c r="I28" s="52"/>
      <c r="J28" s="52"/>
      <c r="K28" s="28" t="s">
        <v>21</v>
      </c>
      <c r="L28" s="28" t="s">
        <v>22</v>
      </c>
    </row>
    <row r="29" spans="1:14">
      <c r="B29" s="49" t="s">
        <v>38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24</v>
      </c>
    </row>
    <row r="30" spans="1:14">
      <c r="B30" s="49" t="s">
        <v>39</v>
      </c>
      <c r="C30" s="49"/>
      <c r="D30" s="49"/>
      <c r="E30" s="49"/>
      <c r="F30" s="49"/>
      <c r="G30" s="49"/>
      <c r="H30" s="49"/>
      <c r="I30" s="49"/>
      <c r="J30" s="49"/>
      <c r="K30" s="14" t="str">
        <f>IF('2'!M7&lt;1, '2'!M7*J11, '2'!M7*J11)</f>
        <v>0</v>
      </c>
      <c r="L30" s="9" t="s">
        <v>24</v>
      </c>
    </row>
    <row r="31" spans="1:14">
      <c r="B31" s="48" t="s">
        <v>40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24</v>
      </c>
    </row>
    <row r="32" spans="1:14">
      <c r="B32" s="51" t="s">
        <v>41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24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42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43</v>
      </c>
      <c r="C35" s="56" t="s">
        <v>44</v>
      </c>
      <c r="D35" s="57"/>
      <c r="E35" s="58"/>
      <c r="F35" s="4" t="s">
        <v>45</v>
      </c>
      <c r="G35" s="56" t="s">
        <v>46</v>
      </c>
      <c r="H35" s="58"/>
      <c r="I35" s="3" t="s">
        <v>47</v>
      </c>
      <c r="J35" s="26" t="s">
        <v>36</v>
      </c>
      <c r="K35" s="47" t="s">
        <v>48</v>
      </c>
      <c r="L35" s="47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54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2" t="s">
        <v>36</v>
      </c>
      <c r="C42" s="91"/>
      <c r="D42" s="91"/>
      <c r="E42" s="91"/>
      <c r="F42" s="93" t="str">
        <f>SUM(F36:F41)</f>
        <v>0</v>
      </c>
      <c r="G42" s="7"/>
      <c r="H42" s="7"/>
      <c r="I42" s="7"/>
      <c r="J42" s="94" t="str">
        <f>SUM(J36:J41)</f>
        <v>0</v>
      </c>
      <c r="K42" s="7"/>
      <c r="L42" s="1"/>
    </row>
    <row r="43" spans="1:14" customHeight="1" ht="18">
      <c r="B43" s="64" t="s">
        <v>55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</row>
    <row r="44" spans="1:14" customHeight="1" ht="18">
      <c r="B44" s="64" t="s">
        <v>56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4" customHeight="1" ht="18">
      <c r="B45" s="64" t="s">
        <v>57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1:14" customHeight="1" ht="18">
      <c r="B46" s="64" t="s">
        <v>58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4" customHeight="1" ht="18">
      <c r="B47" s="64" t="s">
        <v>59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38"/>
      <c r="C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4" customHeight="1" ht="31.8">
      <c r="B50" s="38"/>
      <c r="C50" s="38"/>
      <c r="D50" s="37" t="s">
        <v>0</v>
      </c>
      <c r="E50" s="37"/>
      <c r="F50" s="37"/>
      <c r="G50" s="37"/>
      <c r="H50" s="37"/>
      <c r="I50" s="37"/>
      <c r="J50" s="37"/>
      <c r="K50" s="37"/>
      <c r="L50" s="37"/>
      <c r="M50" s="37"/>
    </row>
    <row r="51" spans="1:14" customHeight="1" ht="21">
      <c r="B51" s="38"/>
      <c r="C51" s="38"/>
      <c r="D51" s="53" t="s">
        <v>60</v>
      </c>
      <c r="E51" s="53"/>
      <c r="F51" s="53"/>
      <c r="G51" s="53"/>
      <c r="H51" s="53"/>
      <c r="I51" s="53"/>
    </row>
    <row r="52" spans="1:14">
      <c r="B52" s="38"/>
      <c r="C52" s="38"/>
    </row>
    <row r="53" spans="1:14">
      <c r="B53" s="38"/>
      <c r="C53" s="38"/>
    </row>
    <row r="54" spans="1:14" customHeight="1" ht="21">
      <c r="B54" s="70" t="s">
        <v>61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</row>
    <row r="56" spans="1:14">
      <c r="B56" s="71" t="s">
        <v>62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</row>
    <row r="57" spans="1:14">
      <c r="B57" s="71" t="s">
        <v>63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4">
      <c r="B58" s="49" t="s">
        <v>64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</row>
    <row r="59" spans="1:14">
      <c r="B59" s="71" t="s">
        <v>65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 spans="1:14">
      <c r="B60" s="71" t="s">
        <v>66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4">
      <c r="B61" s="49" t="s">
        <v>67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</row>
    <row r="62" spans="1:14">
      <c r="B62" s="71" t="s">
        <v>68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 spans="1:14">
      <c r="B63" s="71" t="s">
        <v>69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4">
      <c r="B64" s="71" t="s">
        <v>70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4">
      <c r="B65" s="71" t="s">
        <v>71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4">
      <c r="B66" s="71" t="s">
        <v>72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4">
      <c r="B67" s="71" t="s">
        <v>73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4">
      <c r="B68" s="71" t="s">
        <v>74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4">
      <c r="B69" s="71" t="s">
        <v>75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4">
      <c r="B70" s="71" t="s">
        <v>76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4">
      <c r="B71" s="71" t="s">
        <v>77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4">
      <c r="B72" s="71" t="s">
        <v>78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4">
      <c r="B73" s="67" t="s">
        <v>79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</row>
    <row r="74" spans="1:14">
      <c r="B74" s="71" t="s">
        <v>80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4">
      <c r="B75" s="67" t="s">
        <v>81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1:14">
      <c r="B76" s="71" t="s">
        <v>82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71" t="s">
        <v>83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4">
      <c r="B78" s="71" t="s">
        <v>84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85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71" t="s">
        <v>86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A81" s="32"/>
      <c r="B81" s="72" t="s">
        <v>87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4">
      <c r="A82" s="32"/>
      <c r="B82" s="71" t="s">
        <v>88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A83" s="32"/>
      <c r="B83" s="72" t="s">
        <v>89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</row>
    <row r="85" spans="1:14">
      <c r="C85" s="38"/>
      <c r="D85" s="38"/>
      <c r="E85" s="38"/>
      <c r="F85" s="38"/>
      <c r="G85" s="38"/>
      <c r="H85" s="38"/>
      <c r="I85" s="38"/>
    </row>
    <row r="86" spans="1:14">
      <c r="C86" s="38"/>
      <c r="D86" s="38"/>
      <c r="E86" s="38"/>
      <c r="F86" s="38"/>
      <c r="G86" s="38"/>
      <c r="H86" s="38"/>
      <c r="I86" s="38"/>
    </row>
    <row r="87" spans="1:14">
      <c r="C87" s="38"/>
      <c r="D87" s="38"/>
      <c r="E87" s="38"/>
      <c r="F87" s="38"/>
      <c r="G87" s="38"/>
      <c r="H87" s="38"/>
      <c r="I87" s="38"/>
    </row>
    <row r="88" spans="1:14">
      <c r="C88" s="38"/>
      <c r="D88" s="38"/>
      <c r="E88" s="38"/>
      <c r="F88" s="38"/>
      <c r="G88" s="38"/>
      <c r="H88" s="38"/>
      <c r="I88" s="38"/>
    </row>
    <row r="89" spans="1:14">
      <c r="C89" s="38"/>
      <c r="D89" s="38"/>
      <c r="E89" s="38"/>
      <c r="F89" s="38"/>
      <c r="G89" s="38"/>
      <c r="H89" s="38"/>
      <c r="I89" s="38"/>
    </row>
    <row r="90" spans="1:14">
      <c r="C90" s="38"/>
      <c r="D90" s="38"/>
      <c r="E90" s="38"/>
      <c r="F90" s="38"/>
      <c r="G90" s="38"/>
      <c r="H90" s="38"/>
      <c r="I90" s="38"/>
    </row>
    <row r="91" spans="1:14">
      <c r="C91" s="38"/>
      <c r="D91" s="38"/>
      <c r="E91" s="38"/>
      <c r="F91" s="38"/>
      <c r="G91" s="38"/>
      <c r="H91" s="38"/>
      <c r="I91" s="38"/>
    </row>
    <row r="92" spans="1:14" customHeight="1" ht="15.6">
      <c r="C92" s="38"/>
      <c r="D92" s="38"/>
      <c r="E92" s="38"/>
      <c r="F92" s="38"/>
      <c r="G92" s="38"/>
      <c r="H92" s="38"/>
      <c r="I92" s="38"/>
    </row>
    <row r="93" spans="1:14" customHeight="1" ht="15.6">
      <c r="C93" s="38"/>
      <c r="D93" s="38"/>
      <c r="E93" s="38"/>
      <c r="F93" s="38"/>
      <c r="G93" s="38"/>
      <c r="H93" s="38"/>
      <c r="I93" s="38"/>
    </row>
    <row r="94" spans="1:14">
      <c r="C94" s="38"/>
      <c r="D94" s="38"/>
      <c r="E94" s="38"/>
      <c r="F94" s="38"/>
      <c r="G94" s="38"/>
      <c r="H94" s="38"/>
      <c r="I94" s="38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7"/>
  <sheetViews>
    <sheetView tabSelected="0" workbookViewId="0" showGridLines="true" showRowColHeaders="1">
      <selection activeCell="I44" sqref="I44"/>
    </sheetView>
  </sheetViews>
  <sheetFormatPr defaultRowHeight="14.4" outlineLevelRow="0" outlineLevelCol="0"/>
  <cols>
    <col min="2" max="2" width="24.708252" bestFit="true" customWidth="true" style="0"/>
    <col min="3" max="3" width="16.424561" bestFit="true" customWidth="true" style="0"/>
    <col min="4" max="4" width="16.424561" bestFit="true" customWidth="true" style="0"/>
    <col min="5" max="5" width="17.567139" bestFit="true" customWidth="true" style="0"/>
    <col min="6" max="6" width="21.137695" bestFit="true" customWidth="true" style="0"/>
    <col min="7" max="7" width="21.137695" bestFit="true" customWidth="true" style="0"/>
    <col min="8" max="8" width="36.419678" bestFit="true" customWidth="true" style="0"/>
    <col min="9" max="9" width="12.854004" bestFit="true" customWidth="true" style="0"/>
  </cols>
  <sheetData>
    <row r="3" spans="1:13">
      <c r="B3" s="75" t="s">
        <v>90</v>
      </c>
      <c r="C3" s="74"/>
      <c r="D3" s="74"/>
      <c r="E3" s="74"/>
      <c r="F3" s="74"/>
      <c r="G3" s="74"/>
    </row>
    <row r="5" spans="1:13">
      <c r="B5" s="78" t="s">
        <v>91</v>
      </c>
      <c r="C5" s="80" t="s">
        <v>49</v>
      </c>
      <c r="D5" s="80" t="s">
        <v>50</v>
      </c>
      <c r="E5" s="80" t="s">
        <v>51</v>
      </c>
      <c r="F5" s="80" t="s">
        <v>52</v>
      </c>
      <c r="G5" s="80" t="s">
        <v>53</v>
      </c>
      <c r="H5" s="80" t="s">
        <v>54</v>
      </c>
      <c r="I5" s="80" t="s">
        <v>92</v>
      </c>
    </row>
    <row r="6" spans="1:13">
      <c r="B6" s="74" t="s">
        <v>93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82">
        <v>0</v>
      </c>
      <c r="L6" s="76" t="s">
        <v>94</v>
      </c>
      <c r="M6" s="76" t="s">
        <v>95</v>
      </c>
    </row>
    <row r="7" spans="1:13">
      <c r="B7" s="74" t="s">
        <v>96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83"/>
      <c r="L7" s="77" t="s">
        <v>18</v>
      </c>
      <c r="M7" s="77"/>
    </row>
    <row r="8" spans="1:13">
      <c r="B8" s="74" t="s">
        <v>97</v>
      </c>
      <c r="C8" s="81">
        <v>17.28</v>
      </c>
      <c r="D8" s="81">
        <v>21.03</v>
      </c>
      <c r="E8" s="81">
        <v>15.94</v>
      </c>
      <c r="F8" s="81">
        <v>14.65</v>
      </c>
      <c r="G8" s="81">
        <v>17.39</v>
      </c>
      <c r="H8" s="81">
        <v>11</v>
      </c>
      <c r="I8" s="74"/>
    </row>
    <row r="9" spans="1:13">
      <c r="B9" s="79" t="s">
        <v>98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74"/>
    </row>
    <row r="10" spans="1:13">
      <c r="B10" s="74" t="s">
        <v>99</v>
      </c>
      <c r="C10" s="74">
        <v>20</v>
      </c>
      <c r="D10" s="74">
        <v>15</v>
      </c>
      <c r="E10" s="74">
        <v>10</v>
      </c>
      <c r="F10" s="74">
        <v>10</v>
      </c>
      <c r="G10" s="74">
        <v>10</v>
      </c>
      <c r="H10" s="74">
        <v>60</v>
      </c>
      <c r="I10" s="74" t="str">
        <f>SUM(C10:H10)</f>
        <v>0</v>
      </c>
    </row>
    <row r="11" spans="1:13">
      <c r="B11" s="74" t="s">
        <v>100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6" t="str">
        <f>SUM(C11:H11)</f>
        <v>0</v>
      </c>
    </row>
    <row r="12" spans="1:13">
      <c r="B12" s="79" t="s">
        <v>101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6" t="str">
        <f>SUM(C12:H12)</f>
        <v>0</v>
      </c>
    </row>
    <row r="13" spans="1:13">
      <c r="B13" s="74" t="s">
        <v>102</v>
      </c>
      <c r="C13" s="84" t="str">
        <f>C11/I11</f>
        <v>0</v>
      </c>
      <c r="D13" s="84" t="str">
        <f>D11/I11</f>
        <v>0</v>
      </c>
      <c r="E13" s="84" t="str">
        <f>E11/I11</f>
        <v>0</v>
      </c>
      <c r="F13" s="84" t="str">
        <f>F11/I11</f>
        <v>0</v>
      </c>
      <c r="G13" s="84" t="str">
        <f>G11/I11</f>
        <v>0</v>
      </c>
      <c r="H13" s="84" t="str">
        <f>H11/I11</f>
        <v>0</v>
      </c>
      <c r="I13" s="74"/>
    </row>
    <row r="14" spans="1:13">
      <c r="B14" s="74" t="s">
        <v>103</v>
      </c>
      <c r="C14" s="81" t="str">
        <f>ROUNDUP(I14*C13,2)</f>
        <v>0</v>
      </c>
      <c r="D14" s="81" t="str">
        <f>ROUNDUP(I14*D13,2)</f>
        <v>0</v>
      </c>
      <c r="E14" s="81" t="str">
        <f>ROUNDUP(I14*E13,2)</f>
        <v>0</v>
      </c>
      <c r="F14" s="81" t="str">
        <f>ROUNDUP(I14*F13,2)</f>
        <v>0</v>
      </c>
      <c r="G14" s="81" t="str">
        <f>ROUNDUP(I14*G13,2)</f>
        <v>0</v>
      </c>
      <c r="H14" s="81" t="str">
        <f>ROUNDUP(I14*H13,2)</f>
        <v>0</v>
      </c>
      <c r="I14" s="86" t="str">
        <f>IF(I7&lt;1, ROUNDUP(M7*0.6, 0), ROUNDUP(M7*0.6*I7, 0))</f>
        <v>0</v>
      </c>
    </row>
    <row r="15" spans="1:13">
      <c r="B15" s="74" t="s">
        <v>104</v>
      </c>
      <c r="C15" s="81" t="str">
        <f>ROUNDUP(C11+C14,2)</f>
        <v>0</v>
      </c>
      <c r="D15" s="81" t="str">
        <f>ROUNDUP(D11+D14,2)</f>
        <v>0</v>
      </c>
      <c r="E15" s="81" t="str">
        <f>ROUNDUP(E11+E14,2)</f>
        <v>0</v>
      </c>
      <c r="F15" s="81" t="str">
        <f>ROUNDUP(F11+F14,2)</f>
        <v>0</v>
      </c>
      <c r="G15" s="81" t="str">
        <f>ROUNDUP(G11+G14,2)</f>
        <v>0</v>
      </c>
      <c r="H15" s="81" t="str">
        <f>ROUNDUP(H11+H14,2)</f>
        <v>0</v>
      </c>
      <c r="I15" s="86" t="str">
        <f>SUM(C15:H15)</f>
        <v>0</v>
      </c>
    </row>
    <row r="16" spans="1:13">
      <c r="B16" s="79" t="s">
        <v>105</v>
      </c>
      <c r="C16" s="81" t="str">
        <f>ROUNDUP(C12+C14,2)</f>
        <v>0</v>
      </c>
      <c r="D16" s="81" t="str">
        <f>ROUNDUP(D12+D14,2)</f>
        <v>0</v>
      </c>
      <c r="E16" s="81" t="str">
        <f>ROUNDUP(E12+E14,2)</f>
        <v>0</v>
      </c>
      <c r="F16" s="81" t="str">
        <f>ROUNDUP(F12+F14,2)</f>
        <v>0</v>
      </c>
      <c r="G16" s="81" t="str">
        <f>ROUNDUP(G12+G14,2)</f>
        <v>0</v>
      </c>
      <c r="H16" s="81" t="str">
        <f>ROUNDUP(H12+H14,2)</f>
        <v>0</v>
      </c>
      <c r="I16" s="86" t="str">
        <f>SUM(C16:H16)</f>
        <v>0</v>
      </c>
    </row>
    <row r="17" spans="1:13">
      <c r="B17" s="74" t="s">
        <v>106</v>
      </c>
      <c r="C17" s="81" t="str">
        <f>IF(I15&gt;5000,ROUND(100*C13,2),ROUND(50*C13,2))</f>
        <v>0</v>
      </c>
      <c r="D17" s="81" t="str">
        <f>IF(I15&gt;5000,ROUND(100*D13,2),ROUND(50*D13,2))</f>
        <v>0</v>
      </c>
      <c r="E17" s="81" t="str">
        <f>IF(I15&gt;5000,ROUND(100*E13,2),ROUND(50*E13,2))</f>
        <v>0</v>
      </c>
      <c r="F17" s="81" t="str">
        <f>IF(I15&gt;5000,ROUND(100*F13,2),ROUND(50*F13,2))</f>
        <v>0</v>
      </c>
      <c r="G17" s="81" t="str">
        <f>IF(I15&gt;5000,ROUND(100*G13,2),ROUND(50*G13,2))</f>
        <v>0</v>
      </c>
      <c r="H17" s="81" t="str">
        <f>IF(I15&gt;5000,ROUND(100*H13,2),ROUND(50*H13,2))</f>
        <v>0</v>
      </c>
      <c r="I17" s="86" t="str">
        <f>SUM(C17:H17)</f>
        <v>0</v>
      </c>
    </row>
    <row r="18" spans="1:13">
      <c r="B18" s="74" t="s">
        <v>107</v>
      </c>
      <c r="C18" s="81" t="str">
        <f>ROUNDUP(C15+C17,2)</f>
        <v>0</v>
      </c>
      <c r="D18" s="81" t="str">
        <f>ROUNDUP(D15+D17,2)</f>
        <v>0</v>
      </c>
      <c r="E18" s="81" t="str">
        <f>ROUNDUP(E15+E17,2)</f>
        <v>0</v>
      </c>
      <c r="F18" s="81" t="str">
        <f>ROUNDUP(F15+F17,2)</f>
        <v>0</v>
      </c>
      <c r="G18" s="81" t="str">
        <f>ROUNDUP(G15+G17,2)</f>
        <v>0</v>
      </c>
      <c r="H18" s="81" t="str">
        <f>ROUNDUP(H15+H17,2)</f>
        <v>0</v>
      </c>
      <c r="I18" s="86" t="str">
        <f>SUM(C18:H18)</f>
        <v>0</v>
      </c>
    </row>
    <row r="19" spans="1:13">
      <c r="B19" s="79" t="s">
        <v>108</v>
      </c>
      <c r="C19" s="81" t="str">
        <f>ROUNDUP(C16+C17,2)</f>
        <v>0</v>
      </c>
      <c r="D19" s="81" t="str">
        <f>ROUNDUP(D16+D17,2)</f>
        <v>0</v>
      </c>
      <c r="E19" s="81" t="str">
        <f>ROUNDUP(E16+E17,2)</f>
        <v>0</v>
      </c>
      <c r="F19" s="81" t="str">
        <f>ROUNDUP(F16+F17,2)</f>
        <v>0</v>
      </c>
      <c r="G19" s="81" t="str">
        <f>ROUNDUP(G16+G17,2)</f>
        <v>0</v>
      </c>
      <c r="H19" s="81" t="str">
        <f>ROUNDUP(H16+H17,2)</f>
        <v>0</v>
      </c>
      <c r="I19" s="86" t="str">
        <f>SUM(C19:H19)</f>
        <v>0</v>
      </c>
    </row>
    <row r="23" spans="1:13">
      <c r="B23" s="75" t="s">
        <v>109</v>
      </c>
      <c r="C23" s="74"/>
      <c r="D23" s="74"/>
      <c r="E23" s="74"/>
    </row>
    <row r="26" spans="1:13">
      <c r="B26" s="74" t="s">
        <v>110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 t="str">
        <f>SUM(C26:H26)</f>
        <v>0</v>
      </c>
    </row>
    <row r="27" spans="1:13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4" t="str">
        <f>SUM(C27:H27)</f>
        <v>0</v>
      </c>
    </row>
    <row r="28" spans="1:13">
      <c r="B28" s="74" t="s">
        <v>111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SUM(C28:H28)</f>
        <v>0</v>
      </c>
    </row>
    <row r="29" spans="1:13">
      <c r="B29" s="74" t="s">
        <v>31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SUM(C29:H29)</f>
        <v>0</v>
      </c>
    </row>
    <row r="30" spans="1:13">
      <c r="B30" s="74" t="s">
        <v>32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SUM(C30:H30)</f>
        <v>0</v>
      </c>
    </row>
    <row r="31" spans="1:13">
      <c r="B31" s="74" t="s">
        <v>112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SUM(C31:H31)</f>
        <v>0</v>
      </c>
    </row>
    <row r="32" spans="1:13">
      <c r="B32" s="74" t="s">
        <v>36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</row>
    <row r="37" spans="1:13">
      <c r="B37" s="75" t="s">
        <v>113</v>
      </c>
      <c r="C37" s="74"/>
      <c r="D37" s="74"/>
      <c r="E37" s="74"/>
    </row>
    <row r="40" spans="1:13">
      <c r="B40" s="74" t="s">
        <v>114</v>
      </c>
      <c r="C40" s="81" t="str">
        <f>C13*I40</f>
        <v>0</v>
      </c>
      <c r="D40" s="81" t="str">
        <f>D13*I40</f>
        <v>0</v>
      </c>
      <c r="E40" s="81" t="str">
        <f>E13*I40</f>
        <v>0</v>
      </c>
      <c r="F40" s="81" t="str">
        <f>F13*I40</f>
        <v>0</v>
      </c>
      <c r="G40" s="81" t="str">
        <f>G13*I40</f>
        <v>0</v>
      </c>
      <c r="H40" s="81" t="str">
        <f>H13*I40</f>
        <v>0</v>
      </c>
      <c r="I40" s="81" t="str">
        <f>IF(I7&lt;1, ROUNDUP(M7*0.4, 0), ROUNDUP(M7*0.4*I7, 0))</f>
        <v>0</v>
      </c>
    </row>
    <row r="41" spans="1:13">
      <c r="B41"/>
    </row>
    <row r="43" spans="1:13">
      <c r="B43" s="74" t="s">
        <v>114</v>
      </c>
      <c r="C43" s="74" t="s">
        <v>49</v>
      </c>
      <c r="D43" s="74" t="s">
        <v>50</v>
      </c>
      <c r="E43" s="74" t="s">
        <v>51</v>
      </c>
      <c r="F43" s="74" t="s">
        <v>52</v>
      </c>
      <c r="G43" s="74" t="s">
        <v>53</v>
      </c>
      <c r="H43" s="74" t="s">
        <v>54</v>
      </c>
      <c r="I43" s="74" t="s">
        <v>92</v>
      </c>
    </row>
    <row r="44" spans="1:13">
      <c r="B44" s="74" t="s">
        <v>115</v>
      </c>
      <c r="C44" s="81" t="str">
        <f>SUM(C15,C40,C32,(C26*C10))</f>
        <v>0</v>
      </c>
      <c r="D44" s="81" t="str">
        <f>SUM(D15,D40,D32,(D26*D10))</f>
        <v>0</v>
      </c>
      <c r="E44" s="81" t="str">
        <f>SUM(E15,E40,E32,(E26*E10))</f>
        <v>0</v>
      </c>
      <c r="F44" s="81" t="str">
        <f>SUM(F15,F40,F32,(F26*F10))</f>
        <v>0</v>
      </c>
      <c r="G44" s="81" t="str">
        <f>SUM(G15,G40,G32,(G26*G10))</f>
        <v>0</v>
      </c>
      <c r="H44" s="81" t="str">
        <f>SUM(H15,H40,H32,(H26*H10))</f>
        <v>0</v>
      </c>
      <c r="I44" s="81" t="str">
        <f>SUM(C44:H44)</f>
        <v>0</v>
      </c>
    </row>
    <row r="45" spans="1:13">
      <c r="B45" s="74" t="s">
        <v>45</v>
      </c>
      <c r="C45" s="74">
        <v>20</v>
      </c>
      <c r="D45" s="74">
        <v>15</v>
      </c>
      <c r="E45" s="74">
        <v>10</v>
      </c>
      <c r="F45" s="74">
        <v>10</v>
      </c>
      <c r="G45" s="74">
        <v>10</v>
      </c>
      <c r="H45" s="74">
        <v>60</v>
      </c>
      <c r="I45" s="74"/>
    </row>
    <row r="46" spans="1:13">
      <c r="B46" s="74" t="s">
        <v>116</v>
      </c>
      <c r="C46" s="81" t="str">
        <f>ROUND(SUM(C44/C45),2)</f>
        <v>0</v>
      </c>
      <c r="D46" s="81" t="str">
        <f>ROUND(SUM(D44/D45),2)</f>
        <v>0</v>
      </c>
      <c r="E46" s="81" t="str">
        <f>ROUND(SUM(E44/E45),2)</f>
        <v>0</v>
      </c>
      <c r="F46" s="81" t="str">
        <f>ROUND(SUM(F44/F45),2)</f>
        <v>0</v>
      </c>
      <c r="G46" s="81" t="str">
        <f>ROUND(SUM(G44/G45),2)</f>
        <v>0</v>
      </c>
      <c r="H46" s="81" t="str">
        <f>ROUND(SUM(H44/H45),2)</f>
        <v>0</v>
      </c>
      <c r="I46" s="74"/>
    </row>
    <row r="47" spans="1:13">
      <c r="B47" s="74" t="s">
        <v>117</v>
      </c>
      <c r="C47" s="85" t="str">
        <f>ROUND(C46*3.7,2)</f>
        <v>0</v>
      </c>
      <c r="D47" s="85" t="str">
        <f>ROUND(D46*3.7,2)</f>
        <v>0</v>
      </c>
      <c r="E47" s="85" t="str">
        <f>ROUND(E46*3.7,2)</f>
        <v>0</v>
      </c>
      <c r="F47" s="85" t="str">
        <f>ROUND(F46*3.7,2)</f>
        <v>0</v>
      </c>
      <c r="G47" s="85" t="str">
        <f>ROUND(G46*3.7,2)</f>
        <v>0</v>
      </c>
      <c r="H47" s="85" t="str">
        <f>ROUND(H46*3.7,2)</f>
        <v>0</v>
      </c>
      <c r="I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