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'1'!$A$1:$M$122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<sst xmlns="http://schemas.openxmlformats.org/spreadsheetml/2006/main" uniqueCount="136">
  <si>
    <t>PRO MUNDO COMEX S.A.C.</t>
  </si>
  <si>
    <t xml:space="preserve">         RUC: 20612452432</t>
  </si>
  <si>
    <t>COTIZACION N002</t>
  </si>
  <si>
    <t>NOMBRE:</t>
  </si>
  <si>
    <t>BRYAN RUIZ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</si>
  <si>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</si>
  <si>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</si>
  <si>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</si>
  <si>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</si>
  <si>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</si>
  <si>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</si>
  <si>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</si>
  <si>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</si>
  <si>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</si>
  <si>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</si>
  <si>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</si>
  <si>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</si>
  <si>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</si>
  <si>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</si>
  <si>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</si>
  <si>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</si>
  <si>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</si>
  <si>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</si>
  <si>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</si>
  <si>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</si>
  <si>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</si>
  <si>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</si>
  <si>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</si>
  <si>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</si>
  <si>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</si>
  <si>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BRYAN RUIZ 😁 un gusto saludarte!
        A continuación te envío la cotización final de tu importación📋📦.
        🙋‍♂️ PAGO PENDIENTE :
        ☑️Costo CBM: $356.4
        ☑️Impuestos: $3679.9
        ☑️ Total: $4036.3
        Pronto le aviso nuevos avances, que tengan buen día🚢
        Último día de pago:</t>
  </si>
  <si>
    <t>IGV</t>
  </si>
  <si>
    <t>IPM</t>
  </si>
  <si>
    <t>ANTIDUMPING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</si>
  <si>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</si>
  <si>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</si>
  <si>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</si>
  <si>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</si>
  <si>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</si>
  <si>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</si>
  <si>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</si>
  <si>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</si>
  <si>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</si>
  <si>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</si>
  <si>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</si>
  <si>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</si>
  <si>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</si>
  <si>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</si>
  <si>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</si>
  <si>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</si>
  <si>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CERRADURA DIGITAL</t>
  </si>
  <si>
    <t>TORRE PARA GATOS</t>
  </si>
  <si>
    <t>RUEDA PARA GATOS</t>
  </si>
  <si>
    <t>GORROS DEPORTIVOS</t>
  </si>
  <si>
    <t>CORREA PARA MASCOTA</t>
  </si>
  <si>
    <t>PANTALON LEGGIN PARA DEPORTE</t>
  </si>
  <si>
    <t>SHORT DEPORTIVO</t>
  </si>
  <si>
    <t>TRICICLO PLEGABLE MULTIFUNCIONAL</t>
  </si>
  <si>
    <t>FOCOS LED 12W</t>
  </si>
  <si>
    <t>REBANADOR MULTIFUNCIONAL PARA PLATANOS</t>
  </si>
  <si>
    <t>ROLLO DE ETIQUETA ADHESIVA COLOR</t>
  </si>
  <si>
    <t>ROLLO DE ETIQUETA ADHESIVA BLANCA</t>
  </si>
  <si>
    <t>ETIQUETA ADHESIVA TERMINCAS BLANCA</t>
  </si>
  <si>
    <t>MAQUINA PARA PALOMITAS DE MAÍZ ZA-12</t>
  </si>
  <si>
    <t>CALENTADOR PARA PALOMITAS DE MAÍZ ZA-650</t>
  </si>
  <si>
    <t>MAQUINA PARA PALOMITAS DE MAÍZ ZA-08</t>
  </si>
  <si>
    <t>DISPENSADOR DE AGUA CON FILTRO PURIFICADOR</t>
  </si>
  <si>
    <t>MANIJA DOBLE PARA PUERTAS DE VIDRIO</t>
  </si>
  <si>
    <t>LAMPARA DE TECHO PARA COMEDOR</t>
  </si>
  <si>
    <t>LAMPARA LED DE TECHO PARA SALA</t>
  </si>
  <si>
    <t>LAMPARA LED PARA TECHO 3 ANILLOS</t>
  </si>
  <si>
    <t>LAMPARA LED DE TECHO MODERNO</t>
  </si>
  <si>
    <t>ETIQUETAS ADHESIVAS TÉRMICAS HOLOGRÁFICAS 5CM</t>
  </si>
  <si>
    <t>ETIQUETAS ADHESIVAS TÉRMICAS HOLOGRÁFICAS 3CM</t>
  </si>
  <si>
    <t>ETIQUETAS TERMICAS IMPERMEABLES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</si>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</sst>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33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12" borderId="2" applyFont="1" applyNumberFormat="0" applyFill="1" applyBorder="1" applyAlignment="0">
      <alignment horizontal="general" vertical="bottom" textRotation="0" wrapText="false" shrinkToFit="false"/>
    </xf>
    <xf xfId="0" fontId="0" numFmtId="9" fillId="12" borderId="0" applyFont="0" applyNumberFormat="1" applyFill="1" applyBorder="0" applyAlignment="1">
      <alignment horizontal="center" vertical="bottom" textRotation="0" wrapText="false" shrinkToFit="false"/>
    </xf>
    <xf xfId="0" fontId="2" numFmtId="166" fillId="12" borderId="0" applyFont="1" applyNumberFormat="1" applyFill="1" applyBorder="0" applyAlignment="1">
      <alignment horizontal="center" vertical="bottom" textRotation="0" wrapText="false" shrinkToFit="false"/>
    </xf>
    <xf xfId="0" fontId="2" numFmtId="0" fillId="12" borderId="0" applyFont="1" applyNumberFormat="0" applyFill="1" applyBorder="0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67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103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9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101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100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100"/>
      <c r="L10" s="63"/>
    </row>
    <row r="11" spans="1:14">
      <c r="B11" s="8" t="s">
        <v>17</v>
      </c>
      <c r="C11" s="17">
        <v>47976981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9" t="str">
        <f>'2'!AB7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95" t="s">
        <v>33</v>
      </c>
      <c r="C23" s="95"/>
      <c r="D23" s="95"/>
      <c r="E23" s="95"/>
      <c r="F23" s="95"/>
      <c r="G23" s="95"/>
      <c r="H23" s="95"/>
      <c r="I23" s="95"/>
      <c r="J23" s="96"/>
      <c r="K23" s="97">
        <v>2</v>
      </c>
      <c r="L23" s="98"/>
    </row>
    <row r="24" spans="1:14">
      <c r="B24" s="51" t="s">
        <v>34</v>
      </c>
      <c r="C24" s="51"/>
      <c r="D24" s="51"/>
      <c r="E24" s="51"/>
      <c r="F24" s="51"/>
      <c r="G24" s="51"/>
      <c r="H24" s="51"/>
      <c r="I24" s="51"/>
      <c r="J24" s="29"/>
      <c r="K24" s="30" t="str">
        <f>SUM(K20:K23)</f>
        <v>0</v>
      </c>
      <c r="L24" s="29" t="s">
        <v>24</v>
      </c>
    </row>
    <row r="25" spans="1:14">
      <c r="B25" s="49"/>
      <c r="C25" s="49"/>
      <c r="D25" s="49"/>
      <c r="E25" s="49"/>
      <c r="F25" s="49"/>
      <c r="G25" s="49"/>
      <c r="H25" s="49"/>
      <c r="I25" s="49"/>
      <c r="J25" s="2"/>
      <c r="K25" s="11"/>
      <c r="L25" s="9"/>
    </row>
    <row r="26" spans="1:14">
      <c r="B26" s="48" t="s">
        <v>35</v>
      </c>
      <c r="C26" s="48"/>
      <c r="D26" s="48"/>
      <c r="E26" s="48"/>
      <c r="F26" s="48"/>
      <c r="G26" s="48"/>
      <c r="H26" s="48"/>
      <c r="I26" s="48"/>
      <c r="J26" s="21" t="s">
        <v>36</v>
      </c>
      <c r="K26" s="15" t="str">
        <f>'2'!AB31</f>
        <v>0</v>
      </c>
      <c r="L26" s="12" t="s">
        <v>24</v>
      </c>
    </row>
    <row r="27" spans="1:14">
      <c r="B27" s="51" t="s">
        <v>37</v>
      </c>
      <c r="C27" s="51"/>
      <c r="D27" s="51"/>
      <c r="E27" s="51"/>
      <c r="F27" s="51"/>
      <c r="G27" s="51"/>
      <c r="H27" s="51"/>
      <c r="I27" s="51"/>
      <c r="K27" s="14" t="str">
        <f>K24+K26</f>
        <v>0</v>
      </c>
      <c r="L27" s="9" t="s">
        <v>24</v>
      </c>
    </row>
    <row r="28" spans="1:14">
      <c r="B28" s="43"/>
      <c r="C28" s="43"/>
      <c r="D28" s="43"/>
      <c r="E28" s="43"/>
      <c r="F28" s="43"/>
      <c r="G28" s="43"/>
      <c r="H28" s="43"/>
      <c r="I28" s="43"/>
    </row>
    <row r="29" spans="1:14" customHeight="1" ht="15.6">
      <c r="B29" s="52" t="s">
        <v>38</v>
      </c>
      <c r="C29" s="52"/>
      <c r="D29" s="52"/>
      <c r="E29" s="52"/>
      <c r="F29" s="52"/>
      <c r="G29" s="52"/>
      <c r="H29" s="52"/>
      <c r="I29" s="52"/>
      <c r="J29" s="52"/>
      <c r="K29" s="28" t="s">
        <v>21</v>
      </c>
      <c r="L29" s="28" t="s">
        <v>22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K14</f>
        <v>0</v>
      </c>
      <c r="L30" s="9" t="s">
        <v>24</v>
      </c>
    </row>
    <row r="31" spans="1:14">
      <c r="B31" s="49" t="s">
        <v>40</v>
      </c>
      <c r="C31" s="49"/>
      <c r="D31" s="49"/>
      <c r="E31" s="49"/>
      <c r="F31" s="49"/>
      <c r="G31" s="49"/>
      <c r="H31" s="49"/>
      <c r="I31" s="49"/>
      <c r="J31" s="49"/>
      <c r="K31" s="14" t="str">
        <f>IF('2'!AF7&lt;1, '2'!AF7*J11, '2'!AF7*J11)</f>
        <v>0</v>
      </c>
      <c r="L31" s="9" t="s">
        <v>24</v>
      </c>
    </row>
    <row r="32" spans="1:14">
      <c r="B32" s="48" t="s">
        <v>41</v>
      </c>
      <c r="C32" s="48"/>
      <c r="D32" s="48"/>
      <c r="E32" s="48"/>
      <c r="F32" s="48"/>
      <c r="G32" s="48"/>
      <c r="H32" s="48"/>
      <c r="I32" s="48"/>
      <c r="J32" s="48"/>
      <c r="K32" s="15" t="str">
        <f>K27</f>
        <v>0</v>
      </c>
      <c r="L32" s="12" t="s">
        <v>24</v>
      </c>
    </row>
    <row r="33" spans="1:14">
      <c r="B33" s="51" t="s">
        <v>42</v>
      </c>
      <c r="C33" s="51"/>
      <c r="D33" s="51"/>
      <c r="E33" s="51"/>
      <c r="F33" s="51"/>
      <c r="G33" s="51"/>
      <c r="H33" s="51"/>
      <c r="I33" s="51"/>
      <c r="J33" s="51"/>
      <c r="K33" s="14" t="str">
        <f>SUM(K30:K32)</f>
        <v>0</v>
      </c>
      <c r="L33" s="9" t="s">
        <v>24</v>
      </c>
    </row>
    <row r="34" spans="1:14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</row>
    <row r="35" spans="1:14">
      <c r="B35" s="59" t="s">
        <v>43</v>
      </c>
      <c r="C35" s="60"/>
      <c r="D35" s="60"/>
      <c r="E35" s="60"/>
      <c r="F35" s="60"/>
      <c r="G35" s="60"/>
      <c r="H35" s="60"/>
      <c r="I35" s="60"/>
      <c r="J35" s="60"/>
      <c r="K35" s="60"/>
      <c r="L35" s="61"/>
    </row>
    <row r="36" spans="1:14">
      <c r="B36" s="19" t="s">
        <v>44</v>
      </c>
      <c r="C36" s="56" t="s">
        <v>45</v>
      </c>
      <c r="D36" s="57"/>
      <c r="E36" s="58"/>
      <c r="F36" s="4" t="s">
        <v>46</v>
      </c>
      <c r="G36" s="56" t="s">
        <v>47</v>
      </c>
      <c r="H36" s="58"/>
      <c r="I36" s="3" t="s">
        <v>48</v>
      </c>
      <c r="J36" s="26" t="s">
        <v>37</v>
      </c>
      <c r="K36" s="47" t="s">
        <v>49</v>
      </c>
      <c r="L36" s="47"/>
    </row>
    <row r="37" spans="1:14">
      <c r="B37" s="5">
        <v>1</v>
      </c>
      <c r="C37" s="5" t="s">
        <v>50</v>
      </c>
      <c r="D37" s="5"/>
      <c r="E37" s="5"/>
      <c r="F37" s="5" t="str">
        <f>'2'!C10</f>
        <v>0</v>
      </c>
      <c r="G37" s="88" t="str">
        <f>'2'!C8</f>
        <v>0</v>
      </c>
      <c r="H37" s="6"/>
      <c r="I37" s="88" t="str">
        <f>'2'!C46</f>
        <v>0</v>
      </c>
      <c r="J37" s="88" t="str">
        <f>'2'!C44</f>
        <v>0</v>
      </c>
      <c r="K37" s="89" t="str">
        <f>'2'!C47</f>
        <v>0</v>
      </c>
      <c r="L37" s="47"/>
      <c r="M37" s="1"/>
    </row>
    <row r="38" spans="1:14">
      <c r="B38" s="5">
        <v>2</v>
      </c>
      <c r="C38" s="5" t="s">
        <v>51</v>
      </c>
      <c r="D38" s="5"/>
      <c r="E38" s="5"/>
      <c r="F38" s="5" t="str">
        <f>'2'!D10</f>
        <v>0</v>
      </c>
      <c r="G38" s="88" t="str">
        <f>'2'!D8</f>
        <v>0</v>
      </c>
      <c r="H38" s="6"/>
      <c r="I38" s="88" t="str">
        <f>'2'!D46</f>
        <v>0</v>
      </c>
      <c r="J38" s="88" t="str">
        <f>'2'!D44</f>
        <v>0</v>
      </c>
      <c r="K38" s="89" t="str">
        <f>'2'!D47</f>
        <v>0</v>
      </c>
      <c r="L38" s="47"/>
      <c r="M38" s="1"/>
    </row>
    <row r="39" spans="1:14">
      <c r="B39" s="5">
        <v>3</v>
      </c>
      <c r="C39" s="5" t="s">
        <v>52</v>
      </c>
      <c r="D39" s="5"/>
      <c r="E39" s="5"/>
      <c r="F39" s="5" t="str">
        <f>'2'!E10</f>
        <v>0</v>
      </c>
      <c r="G39" s="88" t="str">
        <f>'2'!E8</f>
        <v>0</v>
      </c>
      <c r="H39" s="6"/>
      <c r="I39" s="88" t="str">
        <f>'2'!E46</f>
        <v>0</v>
      </c>
      <c r="J39" s="88" t="str">
        <f>'2'!E44</f>
        <v>0</v>
      </c>
      <c r="K39" s="89" t="str">
        <f>'2'!E47</f>
        <v>0</v>
      </c>
      <c r="L39" s="47"/>
      <c r="M39" s="1"/>
    </row>
    <row r="40" spans="1:14" customHeight="1" ht="15.6">
      <c r="B40" s="5">
        <v>4</v>
      </c>
      <c r="C40" s="5" t="s">
        <v>53</v>
      </c>
      <c r="D40" s="5"/>
      <c r="E40" s="5"/>
      <c r="F40" s="5" t="str">
        <f>'2'!F10</f>
        <v>0</v>
      </c>
      <c r="G40" s="88" t="str">
        <f>'2'!F8</f>
        <v>0</v>
      </c>
      <c r="H40" s="5"/>
      <c r="I40" s="88" t="str">
        <f>'2'!F46</f>
        <v>0</v>
      </c>
      <c r="J40" s="88" t="str">
        <f>'2'!F44</f>
        <v>0</v>
      </c>
      <c r="K40" s="89" t="str">
        <f>'2'!F47</f>
        <v>0</v>
      </c>
      <c r="L40" s="90"/>
      <c r="M40" s="1"/>
    </row>
    <row r="41" spans="1:14" customHeight="1" ht="15.6">
      <c r="B41" s="5">
        <v>5</v>
      </c>
      <c r="C41" s="5" t="s">
        <v>54</v>
      </c>
      <c r="D41" s="5"/>
      <c r="E41" s="5"/>
      <c r="F41" s="5" t="str">
        <f>'2'!G10</f>
        <v>0</v>
      </c>
      <c r="G41" s="88" t="str">
        <f>'2'!G8</f>
        <v>0</v>
      </c>
      <c r="H41" s="5"/>
      <c r="I41" s="88" t="str">
        <f>'2'!G46</f>
        <v>0</v>
      </c>
      <c r="J41" s="88" t="str">
        <f>'2'!G44</f>
        <v>0</v>
      </c>
      <c r="K41" s="89" t="str">
        <f>'2'!G47</f>
        <v>0</v>
      </c>
      <c r="L41" s="90"/>
    </row>
    <row r="42" spans="1:14">
      <c r="B42" s="5">
        <v>6</v>
      </c>
      <c r="C42" s="5" t="s">
        <v>55</v>
      </c>
      <c r="D42" s="5"/>
      <c r="E42" s="5"/>
      <c r="F42" s="5" t="str">
        <f>'2'!H10</f>
        <v>0</v>
      </c>
      <c r="G42" s="88" t="str">
        <f>'2'!H8</f>
        <v>0</v>
      </c>
      <c r="H42" s="5"/>
      <c r="I42" s="88" t="str">
        <f>'2'!H46</f>
        <v>0</v>
      </c>
      <c r="J42" s="88" t="str">
        <f>'2'!H44</f>
        <v>0</v>
      </c>
      <c r="K42" s="89" t="str">
        <f>'2'!H47</f>
        <v>0</v>
      </c>
      <c r="L42" s="31"/>
    </row>
    <row r="43" spans="1:14" customHeight="1" ht="18">
      <c r="B43" s="91">
        <v>7</v>
      </c>
      <c r="C43" s="5" t="s">
        <v>56</v>
      </c>
      <c r="D43" s="5"/>
      <c r="E43" s="5"/>
      <c r="F43" s="5" t="str">
        <f>'2'!I10</f>
        <v>0</v>
      </c>
      <c r="G43" s="88" t="str">
        <f>'2'!I8</f>
        <v>0</v>
      </c>
      <c r="H43" s="5"/>
      <c r="I43" s="88" t="str">
        <f>'2'!I46</f>
        <v>0</v>
      </c>
      <c r="J43" s="88" t="str">
        <f>'2'!I44</f>
        <v>0</v>
      </c>
      <c r="K43" s="89" t="str">
        <f>'2'!I47</f>
        <v>0</v>
      </c>
      <c r="L43" s="3"/>
    </row>
    <row r="44" spans="1:14" customHeight="1" ht="18">
      <c r="B44" s="91">
        <v>8</v>
      </c>
      <c r="C44" s="5" t="s">
        <v>57</v>
      </c>
      <c r="D44" s="5"/>
      <c r="E44" s="5"/>
      <c r="F44" s="5" t="str">
        <f>'2'!J10</f>
        <v>0</v>
      </c>
      <c r="G44" s="88" t="str">
        <f>'2'!J8</f>
        <v>0</v>
      </c>
      <c r="H44" s="5"/>
      <c r="I44" s="88" t="str">
        <f>'2'!J46</f>
        <v>0</v>
      </c>
      <c r="J44" s="88" t="str">
        <f>'2'!J44</f>
        <v>0</v>
      </c>
      <c r="K44" s="89" t="str">
        <f>'2'!J47</f>
        <v>0</v>
      </c>
      <c r="L44" s="3"/>
    </row>
    <row r="45" spans="1:14" customHeight="1" ht="18">
      <c r="B45" s="91">
        <v>9</v>
      </c>
      <c r="C45" s="5" t="s">
        <v>58</v>
      </c>
      <c r="D45" s="5"/>
      <c r="E45" s="5"/>
      <c r="F45" s="5" t="str">
        <f>'2'!K10</f>
        <v>0</v>
      </c>
      <c r="G45" s="88" t="str">
        <f>'2'!K8</f>
        <v>0</v>
      </c>
      <c r="H45" s="5"/>
      <c r="I45" s="88" t="str">
        <f>'2'!K46</f>
        <v>0</v>
      </c>
      <c r="J45" s="88" t="str">
        <f>'2'!K44</f>
        <v>0</v>
      </c>
      <c r="K45" s="89" t="str">
        <f>'2'!K47</f>
        <v>0</v>
      </c>
      <c r="L45" s="3"/>
    </row>
    <row r="46" spans="1:14" customHeight="1" ht="18">
      <c r="B46" s="91">
        <v>10</v>
      </c>
      <c r="C46" s="5" t="s">
        <v>59</v>
      </c>
      <c r="D46" s="5"/>
      <c r="E46" s="5"/>
      <c r="F46" s="5" t="str">
        <f>'2'!L10</f>
        <v>0</v>
      </c>
      <c r="G46" s="88" t="str">
        <f>'2'!L8</f>
        <v>0</v>
      </c>
      <c r="H46" s="5"/>
      <c r="I46" s="88" t="str">
        <f>'2'!L46</f>
        <v>0</v>
      </c>
      <c r="J46" s="88" t="str">
        <f>'2'!L44</f>
        <v>0</v>
      </c>
      <c r="K46" s="89" t="str">
        <f>'2'!L47</f>
        <v>0</v>
      </c>
      <c r="L46" s="3"/>
    </row>
    <row r="47" spans="1:14" customHeight="1" ht="18">
      <c r="B47" s="91">
        <v>11</v>
      </c>
      <c r="C47" s="5" t="s">
        <v>60</v>
      </c>
      <c r="D47" s="5"/>
      <c r="E47" s="5"/>
      <c r="F47" s="5" t="str">
        <f>'2'!M10</f>
        <v>0</v>
      </c>
      <c r="G47" s="88" t="str">
        <f>'2'!M8</f>
        <v>0</v>
      </c>
      <c r="H47" s="5"/>
      <c r="I47" s="88" t="str">
        <f>'2'!M46</f>
        <v>0</v>
      </c>
      <c r="J47" s="88" t="str">
        <f>'2'!M44</f>
        <v>0</v>
      </c>
      <c r="K47" s="89" t="str">
        <f>'2'!M47</f>
        <v>0</v>
      </c>
      <c r="L47" s="3"/>
    </row>
    <row r="48" spans="1:14" customHeight="1" ht="18">
      <c r="B48" s="91">
        <v>12</v>
      </c>
      <c r="C48" s="5" t="s">
        <v>61</v>
      </c>
      <c r="D48" s="5"/>
      <c r="E48" s="5"/>
      <c r="F48" s="5" t="str">
        <f>'2'!N10</f>
        <v>0</v>
      </c>
      <c r="G48" s="88" t="str">
        <f>'2'!N8</f>
        <v>0</v>
      </c>
      <c r="H48" s="5"/>
      <c r="I48" s="88" t="str">
        <f>'2'!N46</f>
        <v>0</v>
      </c>
      <c r="J48" s="88" t="str">
        <f>'2'!N44</f>
        <v>0</v>
      </c>
      <c r="K48" s="89" t="str">
        <f>'2'!N47</f>
        <v>0</v>
      </c>
      <c r="L48" s="3"/>
    </row>
    <row r="49" spans="1:14" customHeight="1" ht="18">
      <c r="B49" s="91">
        <v>13</v>
      </c>
      <c r="C49" s="5" t="s">
        <v>62</v>
      </c>
      <c r="D49" s="5"/>
      <c r="E49" s="5"/>
      <c r="F49" s="5" t="str">
        <f>'2'!O10</f>
        <v>0</v>
      </c>
      <c r="G49" s="88" t="str">
        <f>'2'!O8</f>
        <v>0</v>
      </c>
      <c r="H49" s="5"/>
      <c r="I49" s="88" t="str">
        <f>'2'!O46</f>
        <v>0</v>
      </c>
      <c r="J49" s="88" t="str">
        <f>'2'!O44</f>
        <v>0</v>
      </c>
      <c r="K49" s="89" t="str">
        <f>'2'!O47</f>
        <v>0</v>
      </c>
      <c r="L49" s="3"/>
    </row>
    <row r="50" spans="1:14" customHeight="1" ht="18">
      <c r="B50" s="91">
        <v>14</v>
      </c>
      <c r="C50" s="5" t="s">
        <v>63</v>
      </c>
      <c r="D50" s="5"/>
      <c r="E50" s="5"/>
      <c r="F50" s="5" t="str">
        <f>'2'!P10</f>
        <v>0</v>
      </c>
      <c r="G50" s="88" t="str">
        <f>'2'!P8</f>
        <v>0</v>
      </c>
      <c r="H50" s="5"/>
      <c r="I50" s="88" t="str">
        <f>'2'!P46</f>
        <v>0</v>
      </c>
      <c r="J50" s="88" t="str">
        <f>'2'!P44</f>
        <v>0</v>
      </c>
      <c r="K50" s="89" t="str">
        <f>'2'!P47</f>
        <v>0</v>
      </c>
      <c r="L50" s="3"/>
    </row>
    <row r="51" spans="1:14" customHeight="1" ht="18">
      <c r="B51" s="91">
        <v>15</v>
      </c>
      <c r="C51" s="5" t="s">
        <v>64</v>
      </c>
      <c r="D51" s="5"/>
      <c r="E51" s="5"/>
      <c r="F51" s="5" t="str">
        <f>'2'!Q10</f>
        <v>0</v>
      </c>
      <c r="G51" s="88" t="str">
        <f>'2'!Q8</f>
        <v>0</v>
      </c>
      <c r="H51" s="5"/>
      <c r="I51" s="88" t="str">
        <f>'2'!Q46</f>
        <v>0</v>
      </c>
      <c r="J51" s="88" t="str">
        <f>'2'!Q44</f>
        <v>0</v>
      </c>
      <c r="K51" s="89" t="str">
        <f>'2'!Q47</f>
        <v>0</v>
      </c>
      <c r="L51" s="3"/>
    </row>
    <row r="52" spans="1:14" customHeight="1" ht="18">
      <c r="B52" s="91">
        <v>16</v>
      </c>
      <c r="C52" s="5" t="s">
        <v>65</v>
      </c>
      <c r="D52" s="5"/>
      <c r="E52" s="5"/>
      <c r="F52" s="5" t="str">
        <f>'2'!R10</f>
        <v>0</v>
      </c>
      <c r="G52" s="88" t="str">
        <f>'2'!R8</f>
        <v>0</v>
      </c>
      <c r="H52" s="5"/>
      <c r="I52" s="88" t="str">
        <f>'2'!R46</f>
        <v>0</v>
      </c>
      <c r="J52" s="88" t="str">
        <f>'2'!R44</f>
        <v>0</v>
      </c>
      <c r="K52" s="89" t="str">
        <f>'2'!R47</f>
        <v>0</v>
      </c>
      <c r="L52" s="3"/>
    </row>
    <row r="53" spans="1:14" customHeight="1" ht="18">
      <c r="B53" s="91">
        <v>17</v>
      </c>
      <c r="C53" s="5" t="s">
        <v>66</v>
      </c>
      <c r="D53" s="5"/>
      <c r="E53" s="5"/>
      <c r="F53" s="5" t="str">
        <f>'2'!S10</f>
        <v>0</v>
      </c>
      <c r="G53" s="88" t="str">
        <f>'2'!S8</f>
        <v>0</v>
      </c>
      <c r="H53" s="5"/>
      <c r="I53" s="88" t="str">
        <f>'2'!S46</f>
        <v>0</v>
      </c>
      <c r="J53" s="88" t="str">
        <f>'2'!S44</f>
        <v>0</v>
      </c>
      <c r="K53" s="89" t="str">
        <f>'2'!S47</f>
        <v>0</v>
      </c>
      <c r="L53" s="3"/>
    </row>
    <row r="54" spans="1:14" customHeight="1" ht="18">
      <c r="B54" s="91">
        <v>18</v>
      </c>
      <c r="C54" s="5" t="s">
        <v>67</v>
      </c>
      <c r="D54" s="5"/>
      <c r="E54" s="5"/>
      <c r="F54" s="5" t="str">
        <f>'2'!T10</f>
        <v>0</v>
      </c>
      <c r="G54" s="88" t="str">
        <f>'2'!T8</f>
        <v>0</v>
      </c>
      <c r="H54" s="5"/>
      <c r="I54" s="88" t="str">
        <f>'2'!T46</f>
        <v>0</v>
      </c>
      <c r="J54" s="88" t="str">
        <f>'2'!T44</f>
        <v>0</v>
      </c>
      <c r="K54" s="89" t="str">
        <f>'2'!T47</f>
        <v>0</v>
      </c>
      <c r="L54" s="3"/>
    </row>
    <row r="55" spans="1:14" customHeight="1" ht="18">
      <c r="B55" s="91">
        <v>19</v>
      </c>
      <c r="C55" s="5" t="s">
        <v>68</v>
      </c>
      <c r="D55" s="5"/>
      <c r="E55" s="5"/>
      <c r="F55" s="5" t="str">
        <f>'2'!U10</f>
        <v>0</v>
      </c>
      <c r="G55" s="88" t="str">
        <f>'2'!U8</f>
        <v>0</v>
      </c>
      <c r="H55" s="5"/>
      <c r="I55" s="88" t="str">
        <f>'2'!U46</f>
        <v>0</v>
      </c>
      <c r="J55" s="88" t="str">
        <f>'2'!U44</f>
        <v>0</v>
      </c>
      <c r="K55" s="89" t="str">
        <f>'2'!U47</f>
        <v>0</v>
      </c>
      <c r="L55" s="3"/>
    </row>
    <row r="56" spans="1:14" customHeight="1" ht="18">
      <c r="B56" s="91">
        <v>20</v>
      </c>
      <c r="C56" s="5" t="s">
        <v>69</v>
      </c>
      <c r="D56" s="5"/>
      <c r="E56" s="5"/>
      <c r="F56" s="5" t="str">
        <f>'2'!V10</f>
        <v>0</v>
      </c>
      <c r="G56" s="88" t="str">
        <f>'2'!V8</f>
        <v>0</v>
      </c>
      <c r="H56" s="5"/>
      <c r="I56" s="88" t="str">
        <f>'2'!V46</f>
        <v>0</v>
      </c>
      <c r="J56" s="88" t="str">
        <f>'2'!V44</f>
        <v>0</v>
      </c>
      <c r="K56" s="89" t="str">
        <f>'2'!V47</f>
        <v>0</v>
      </c>
      <c r="L56" s="3"/>
    </row>
    <row r="57" spans="1:14" customHeight="1" ht="18">
      <c r="B57" s="91">
        <v>21</v>
      </c>
      <c r="C57" s="5" t="s">
        <v>70</v>
      </c>
      <c r="D57" s="5"/>
      <c r="E57" s="5"/>
      <c r="F57" s="5" t="str">
        <f>'2'!W10</f>
        <v>0</v>
      </c>
      <c r="G57" s="88" t="str">
        <f>'2'!W8</f>
        <v>0</v>
      </c>
      <c r="H57" s="5"/>
      <c r="I57" s="88" t="str">
        <f>'2'!W46</f>
        <v>0</v>
      </c>
      <c r="J57" s="88" t="str">
        <f>'2'!W44</f>
        <v>0</v>
      </c>
      <c r="K57" s="89" t="str">
        <f>'2'!W47</f>
        <v>0</v>
      </c>
      <c r="L57" s="3"/>
    </row>
    <row r="58" spans="1:14" customHeight="1" ht="18">
      <c r="B58" s="91">
        <v>22</v>
      </c>
      <c r="C58" s="5" t="s">
        <v>71</v>
      </c>
      <c r="D58" s="5"/>
      <c r="E58" s="5"/>
      <c r="F58" s="5" t="str">
        <f>'2'!X10</f>
        <v>0</v>
      </c>
      <c r="G58" s="88" t="str">
        <f>'2'!X8</f>
        <v>0</v>
      </c>
      <c r="H58" s="5"/>
      <c r="I58" s="88" t="str">
        <f>'2'!X46</f>
        <v>0</v>
      </c>
      <c r="J58" s="88" t="str">
        <f>'2'!X44</f>
        <v>0</v>
      </c>
      <c r="K58" s="89" t="str">
        <f>'2'!X47</f>
        <v>0</v>
      </c>
      <c r="L58" s="3"/>
    </row>
    <row r="59" spans="1:14" customHeight="1" ht="18">
      <c r="B59" s="91">
        <v>23</v>
      </c>
      <c r="C59" s="5" t="s">
        <v>72</v>
      </c>
      <c r="D59" s="5"/>
      <c r="E59" s="5"/>
      <c r="F59" s="5" t="str">
        <f>'2'!Y10</f>
        <v>0</v>
      </c>
      <c r="G59" s="88" t="str">
        <f>'2'!Y8</f>
        <v>0</v>
      </c>
      <c r="H59" s="5"/>
      <c r="I59" s="88" t="str">
        <f>'2'!Y46</f>
        <v>0</v>
      </c>
      <c r="J59" s="88" t="str">
        <f>'2'!Y44</f>
        <v>0</v>
      </c>
      <c r="K59" s="89" t="str">
        <f>'2'!Y47</f>
        <v>0</v>
      </c>
      <c r="L59" s="3"/>
    </row>
    <row r="60" spans="1:14" customHeight="1" ht="18">
      <c r="B60" s="91">
        <v>24</v>
      </c>
      <c r="C60" s="5" t="s">
        <v>73</v>
      </c>
      <c r="D60" s="5"/>
      <c r="E60" s="5"/>
      <c r="F60" s="5" t="str">
        <f>'2'!Z10</f>
        <v>0</v>
      </c>
      <c r="G60" s="88" t="str">
        <f>'2'!Z8</f>
        <v>0</v>
      </c>
      <c r="H60" s="5"/>
      <c r="I60" s="88" t="str">
        <f>'2'!Z46</f>
        <v>0</v>
      </c>
      <c r="J60" s="88" t="str">
        <f>'2'!Z44</f>
        <v>0</v>
      </c>
      <c r="K60" s="89" t="str">
        <f>'2'!Z47</f>
        <v>0</v>
      </c>
      <c r="L60" s="3"/>
    </row>
    <row r="61" spans="1:14" customHeight="1" ht="18">
      <c r="B61" s="91">
        <v>25</v>
      </c>
      <c r="C61" s="5" t="s">
        <v>74</v>
      </c>
      <c r="D61" s="5"/>
      <c r="E61" s="5"/>
      <c r="F61" s="5" t="str">
        <f>'2'!AA10</f>
        <v>0</v>
      </c>
      <c r="G61" s="88" t="str">
        <f>'2'!AA8</f>
        <v>0</v>
      </c>
      <c r="H61" s="5"/>
      <c r="I61" s="88" t="str">
        <f>'2'!AA46</f>
        <v>0</v>
      </c>
      <c r="J61" s="88" t="str">
        <f>'2'!AA44</f>
        <v>0</v>
      </c>
      <c r="K61" s="89" t="str">
        <f>'2'!AA47</f>
        <v>0</v>
      </c>
      <c r="L61" s="3"/>
    </row>
    <row r="62" spans="1:14" customHeight="1" ht="18">
      <c r="B62" s="93" t="s">
        <v>37</v>
      </c>
      <c r="C62" s="92"/>
      <c r="D62" s="92"/>
      <c r="E62" s="92"/>
      <c r="F62" s="93" t="str">
        <f>SUM(F37:F61)</f>
        <v>0</v>
      </c>
      <c r="G62" s="64"/>
      <c r="H62" s="64"/>
      <c r="I62" s="64"/>
      <c r="J62" s="94" t="str">
        <f>SUM(J37:J61)</f>
        <v>0</v>
      </c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s">
        <v>77</v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 customHeight="1" ht="18">
      <c r="B6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4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</row>
    <row r="68" spans="1:14" customHeight="1" ht="9">
      <c r="B68" s="38"/>
      <c r="C68" s="38"/>
      <c r="E68" s="38"/>
      <c r="F68" s="38"/>
      <c r="G68" s="38"/>
      <c r="H68" s="38"/>
      <c r="I68" s="38"/>
      <c r="J68" s="38"/>
      <c r="K68" s="38"/>
      <c r="L68" s="38"/>
      <c r="M68" s="38"/>
    </row>
    <row r="69" spans="1:14" customHeight="1" ht="31.8">
      <c r="B69" s="38"/>
      <c r="C69" s="38"/>
      <c r="D69" s="37" t="s">
        <v>0</v>
      </c>
      <c r="E69" s="37"/>
      <c r="F69" s="37"/>
      <c r="G69" s="37"/>
      <c r="H69" s="37"/>
      <c r="I69" s="37"/>
      <c r="J69" s="37"/>
      <c r="K69" s="37"/>
      <c r="L69" s="37"/>
      <c r="M69" s="37"/>
    </row>
    <row r="70" spans="1:14" customHeight="1" ht="21">
      <c r="B70" s="38"/>
      <c r="C70" s="38"/>
      <c r="D70" s="53" t="s">
        <v>79</v>
      </c>
      <c r="E70" s="53"/>
      <c r="F70" s="53"/>
      <c r="G70" s="53"/>
      <c r="H70" s="53"/>
      <c r="I70" s="53"/>
    </row>
    <row r="71" spans="1:14">
      <c r="B71" s="38"/>
      <c r="C71" s="38"/>
    </row>
    <row r="72" spans="1:14">
      <c r="B72" s="38"/>
      <c r="C72" s="38"/>
    </row>
    <row r="73" spans="1:14" customHeight="1" ht="21">
      <c r="B73" s="70" t="s">
        <v>80</v>
      </c>
      <c r="C73" s="70"/>
      <c r="D73" s="70"/>
      <c r="E73" s="70"/>
      <c r="F73" s="70"/>
      <c r="G73" s="70"/>
      <c r="H73" s="70"/>
      <c r="I73" s="70"/>
      <c r="J73" s="70"/>
      <c r="K73" s="70"/>
      <c r="L73" s="70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49" t="s">
        <v>83</v>
      </c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49" t="s">
        <v>86</v>
      </c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67" t="s">
        <v>98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spans="1:14">
      <c r="B93" s="71" t="s">
        <v>99</v>
      </c>
      <c r="C93" s="71"/>
      <c r="D93" s="71"/>
      <c r="E93" s="71"/>
      <c r="F93" s="71"/>
      <c r="G93" s="71"/>
      <c r="H93" s="71"/>
      <c r="I93" s="71"/>
      <c r="J93" s="71"/>
      <c r="K93" s="71"/>
      <c r="L93" s="71"/>
    </row>
    <row r="94" spans="1:14">
      <c r="B94" s="67" t="s">
        <v>100</v>
      </c>
      <c r="C94" s="67"/>
      <c r="D94" s="67"/>
      <c r="E94" s="67"/>
      <c r="F94" s="67"/>
      <c r="G94" s="67"/>
      <c r="H94" s="67"/>
      <c r="I94" s="67"/>
      <c r="J94" s="67"/>
      <c r="K94" s="67"/>
      <c r="L94" s="67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B99" s="71" t="s">
        <v>105</v>
      </c>
      <c r="C99" s="71"/>
      <c r="D99" s="71"/>
      <c r="E99" s="71"/>
      <c r="F99" s="71"/>
      <c r="G99" s="71"/>
      <c r="H99" s="71"/>
      <c r="I99" s="71"/>
      <c r="J99" s="71"/>
      <c r="K99" s="71"/>
      <c r="L99" s="71"/>
    </row>
    <row r="100" spans="1:14">
      <c r="A100" s="32"/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2"/>
    </row>
    <row r="101" spans="1:14">
      <c r="A101" s="32"/>
      <c r="B101" s="71" t="s">
        <v>107</v>
      </c>
      <c r="C101" s="71"/>
      <c r="D101" s="71"/>
      <c r="E101" s="71"/>
      <c r="F101" s="71"/>
      <c r="G101" s="71"/>
      <c r="H101" s="71"/>
      <c r="I101" s="71"/>
      <c r="J101" s="71"/>
      <c r="K101" s="71"/>
      <c r="L101" s="71"/>
    </row>
    <row r="102" spans="1:14">
      <c r="A102" s="32"/>
      <c r="B102" s="72" t="s">
        <v>108</v>
      </c>
      <c r="C102" s="72"/>
      <c r="D102" s="72"/>
      <c r="E102" s="72"/>
      <c r="F102" s="72"/>
      <c r="G102" s="72"/>
      <c r="H102" s="72"/>
      <c r="I102" s="72"/>
      <c r="J102" s="72"/>
      <c r="K102" s="72"/>
      <c r="L102" s="72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 customHeight="1" ht="15.6">
      <c r="C112" s="38"/>
      <c r="D112" s="38"/>
      <c r="E112" s="38"/>
      <c r="F112" s="38"/>
      <c r="G112" s="38"/>
      <c r="H112" s="38"/>
      <c r="I112" s="38"/>
    </row>
    <row r="113" spans="1:14">
      <c r="C113" s="38"/>
      <c r="D113" s="38"/>
      <c r="E113" s="38"/>
      <c r="F113" s="38"/>
      <c r="G113" s="38"/>
      <c r="H113" s="38"/>
      <c r="I113" s="38"/>
    </row>
    <row r="119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2:L92"/>
    <mergeCell ref="B93:L93"/>
    <mergeCell ref="A7:C7"/>
    <mergeCell ref="I7:L7"/>
    <mergeCell ref="B77:L77"/>
    <mergeCell ref="B66:L66"/>
    <mergeCell ref="C39:E39"/>
    <mergeCell ref="K39:L39"/>
    <mergeCell ref="B75:L75"/>
    <mergeCell ref="B88:L88"/>
    <mergeCell ref="B76:L76"/>
    <mergeCell ref="G38:H38"/>
    <mergeCell ref="J11:L11"/>
    <mergeCell ref="B102:L102"/>
    <mergeCell ref="B85:L85"/>
    <mergeCell ref="B86:L86"/>
    <mergeCell ref="B87:L87"/>
    <mergeCell ref="B78:L78"/>
    <mergeCell ref="B79:L79"/>
    <mergeCell ref="B80:L80"/>
    <mergeCell ref="B81:L81"/>
    <mergeCell ref="B82:L82"/>
    <mergeCell ref="B83:L83"/>
    <mergeCell ref="B84:L84"/>
    <mergeCell ref="B89:L89"/>
    <mergeCell ref="B90:L90"/>
    <mergeCell ref="B91:L91"/>
    <mergeCell ref="B101:L101"/>
    <mergeCell ref="B100:L100"/>
    <mergeCell ref="B99:L99"/>
    <mergeCell ref="B94:L94"/>
    <mergeCell ref="B95:L95"/>
    <mergeCell ref="B96:L96"/>
    <mergeCell ref="B97:L97"/>
    <mergeCell ref="B98:L98"/>
    <mergeCell ref="B68:C72"/>
    <mergeCell ref="B19:F19"/>
    <mergeCell ref="C36:E36"/>
    <mergeCell ref="B73:L73"/>
    <mergeCell ref="B64:L64"/>
    <mergeCell ref="G39:H39"/>
    <mergeCell ref="K38:L38"/>
    <mergeCell ref="C38:E38"/>
    <mergeCell ref="B28:I28"/>
    <mergeCell ref="B24:I24"/>
    <mergeCell ref="B20:I20"/>
    <mergeCell ref="B21:I21"/>
    <mergeCell ref="B22:I22"/>
    <mergeCell ref="D69:J69"/>
    <mergeCell ref="B32:J32"/>
    <mergeCell ref="B27:I27"/>
    <mergeCell ref="B12:L12"/>
    <mergeCell ref="B13:J13"/>
    <mergeCell ref="B14:J14"/>
    <mergeCell ref="B16:J16"/>
    <mergeCell ref="B15:J15"/>
    <mergeCell ref="C104:I113"/>
    <mergeCell ref="A1:L1"/>
    <mergeCell ref="E2:L2"/>
    <mergeCell ref="D70:I70"/>
    <mergeCell ref="E3:J3"/>
    <mergeCell ref="E4:J4"/>
    <mergeCell ref="K37:L37"/>
    <mergeCell ref="C37:E37"/>
    <mergeCell ref="G37:H37"/>
    <mergeCell ref="G36:H36"/>
    <mergeCell ref="B35:L35"/>
    <mergeCell ref="J8:L8"/>
    <mergeCell ref="J10:L10"/>
    <mergeCell ref="B65:L65"/>
    <mergeCell ref="B63:L63"/>
    <mergeCell ref="F11:G11"/>
    <mergeCell ref="K69:M69"/>
    <mergeCell ref="E68:M68"/>
    <mergeCell ref="J9:L9"/>
    <mergeCell ref="B2:C6"/>
    <mergeCell ref="E7:G7"/>
    <mergeCell ref="F9:G9"/>
    <mergeCell ref="F10:G10"/>
    <mergeCell ref="F8:G8"/>
    <mergeCell ref="K36:L36"/>
    <mergeCell ref="B26:I26"/>
    <mergeCell ref="B25:I25"/>
    <mergeCell ref="B34:L34"/>
    <mergeCell ref="B33:J33"/>
    <mergeCell ref="B29:J29"/>
    <mergeCell ref="B30:J30"/>
    <mergeCell ref="B31:J31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C61:E61"/>
    <mergeCell ref="G61:H61"/>
    <mergeCell ref="K61:L61"/>
    <mergeCell ref="B62:E62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7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21.137695" bestFit="true" customWidth="true" style="0"/>
    <col min="4" max="4" width="19.995117" bestFit="true" customWidth="true" style="0"/>
    <col min="5" max="5" width="19.995117" bestFit="true" customWidth="true" style="0"/>
    <col min="6" max="6" width="21.137695" bestFit="true" customWidth="true" style="0"/>
    <col min="7" max="7" width="23.422852" bestFit="true" customWidth="true" style="0"/>
    <col min="8" max="8" width="34.134521" bestFit="true" customWidth="true" style="0"/>
    <col min="9" max="9" width="18.709717" bestFit="true" customWidth="true" style="0"/>
    <col min="10" max="10" width="38.847656" bestFit="true" customWidth="true" style="0"/>
    <col min="11" max="11" width="16.424561" bestFit="true" customWidth="true" style="0"/>
    <col min="12" max="12" width="45.845947" bestFit="true" customWidth="true" style="0"/>
    <col min="13" max="13" width="38.847656" bestFit="true" customWidth="true" style="0"/>
    <col min="14" max="14" width="39.990234" bestFit="true" customWidth="true" style="0"/>
    <col min="15" max="15" width="41.132813" bestFit="true" customWidth="true" style="0"/>
    <col min="16" max="16" width="43.560791" bestFit="true" customWidth="true" style="0"/>
    <col min="17" max="17" width="48.273926" bestFit="true" customWidth="true" style="0"/>
    <col min="18" max="18" width="43.560791" bestFit="true" customWidth="true" style="0"/>
    <col min="19" max="19" width="50.559082" bestFit="true" customWidth="true" style="0"/>
    <col min="20" max="20" width="42.418213" bestFit="true" customWidth="true" style="0"/>
    <col min="21" max="21" width="35.2771" bestFit="true" customWidth="true" style="0"/>
    <col min="22" max="22" width="36.419678" bestFit="true" customWidth="true" style="0"/>
    <col min="23" max="23" width="38.847656" bestFit="true" customWidth="true" style="0"/>
    <col min="24" max="24" width="34.134521" bestFit="true" customWidth="true" style="0"/>
    <col min="25" max="25" width="54.129639" bestFit="true" customWidth="true" style="0"/>
    <col min="26" max="26" width="54.129639" bestFit="true" customWidth="true" style="0"/>
    <col min="27" max="27" width="37.705078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9.78</v>
      </c>
      <c r="AE7" s="77" t="s">
        <v>13</v>
      </c>
      <c r="AF7" s="77">
        <v>300</v>
      </c>
    </row>
    <row r="8" spans="1:32">
      <c r="B8" s="74" t="s">
        <v>116</v>
      </c>
      <c r="C8" s="81">
        <v>16.392307692308</v>
      </c>
      <c r="D8" s="81">
        <v>31.333333333333</v>
      </c>
      <c r="E8" s="81">
        <v>26.18</v>
      </c>
      <c r="F8" s="81">
        <v>1.59</v>
      </c>
      <c r="G8" s="81">
        <v>0.88</v>
      </c>
      <c r="H8" s="81">
        <v>4.24625</v>
      </c>
      <c r="I8" s="81">
        <v>3.3841666666667</v>
      </c>
      <c r="J8" s="81">
        <v>39.9</v>
      </c>
      <c r="K8" s="81">
        <v>0.9</v>
      </c>
      <c r="L8" s="81">
        <v>110</v>
      </c>
      <c r="M8" s="81">
        <v>3.2</v>
      </c>
      <c r="N8" s="81">
        <v>2.125</v>
      </c>
      <c r="O8" s="81">
        <v>3.4</v>
      </c>
      <c r="P8" s="81">
        <v>380</v>
      </c>
      <c r="Q8" s="81">
        <v>295</v>
      </c>
      <c r="R8" s="81">
        <v>125</v>
      </c>
      <c r="S8" s="81">
        <v>8.6</v>
      </c>
      <c r="T8" s="81">
        <v>1.885</v>
      </c>
      <c r="U8" s="81">
        <v>7.1</v>
      </c>
      <c r="V8" s="81">
        <v>4.4</v>
      </c>
      <c r="W8" s="81">
        <v>5.8</v>
      </c>
      <c r="X8" s="81">
        <v>10</v>
      </c>
      <c r="Y8" s="81">
        <v>4.19</v>
      </c>
      <c r="Z8" s="81">
        <v>1.9025</v>
      </c>
      <c r="AA8" s="81">
        <v>0.62333333333333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65</v>
      </c>
      <c r="D10" s="74">
        <v>6</v>
      </c>
      <c r="E10" s="74">
        <v>1</v>
      </c>
      <c r="F10" s="74">
        <v>200</v>
      </c>
      <c r="G10" s="74">
        <v>200</v>
      </c>
      <c r="H10" s="74">
        <v>400</v>
      </c>
      <c r="I10" s="74">
        <v>240</v>
      </c>
      <c r="J10" s="74">
        <v>30</v>
      </c>
      <c r="K10" s="74">
        <v>300</v>
      </c>
      <c r="L10" s="74">
        <v>6</v>
      </c>
      <c r="M10" s="74">
        <v>60</v>
      </c>
      <c r="N10" s="74">
        <v>120</v>
      </c>
      <c r="O10" s="74">
        <v>90</v>
      </c>
      <c r="P10" s="74">
        <v>4</v>
      </c>
      <c r="Q10" s="74">
        <v>2</v>
      </c>
      <c r="R10" s="74">
        <v>6</v>
      </c>
      <c r="S10" s="74">
        <v>36</v>
      </c>
      <c r="T10" s="74">
        <v>700</v>
      </c>
      <c r="U10" s="74">
        <v>4</v>
      </c>
      <c r="V10" s="74">
        <v>10</v>
      </c>
      <c r="W10" s="74">
        <v>20</v>
      </c>
      <c r="X10" s="74">
        <v>9</v>
      </c>
      <c r="Y10" s="74">
        <v>80</v>
      </c>
      <c r="Z10" s="74">
        <v>320</v>
      </c>
      <c r="AA10" s="74">
        <v>240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123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124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126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127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33</v>
      </c>
      <c r="C26" s="81">
        <v>0</v>
      </c>
      <c r="D26" s="81">
        <v>0</v>
      </c>
      <c r="E26" s="81">
        <v>0</v>
      </c>
      <c r="F26" s="81">
        <v>2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0.11</v>
      </c>
      <c r="I27" s="87">
        <v>0.11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129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130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131</v>
      </c>
      <c r="C37" s="74"/>
      <c r="D37" s="74"/>
      <c r="E37" s="74"/>
    </row>
    <row r="40" spans="1:32">
      <c r="B40" s="74" t="s">
        <v>132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132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133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46</v>
      </c>
      <c r="C45" s="74">
        <v>65</v>
      </c>
      <c r="D45" s="74">
        <v>6</v>
      </c>
      <c r="E45" s="74">
        <v>1</v>
      </c>
      <c r="F45" s="74">
        <v>200</v>
      </c>
      <c r="G45" s="74">
        <v>200</v>
      </c>
      <c r="H45" s="74">
        <v>400</v>
      </c>
      <c r="I45" s="74">
        <v>240</v>
      </c>
      <c r="J45" s="74">
        <v>30</v>
      </c>
      <c r="K45" s="74">
        <v>300</v>
      </c>
      <c r="L45" s="74">
        <v>6</v>
      </c>
      <c r="M45" s="74">
        <v>60</v>
      </c>
      <c r="N45" s="74">
        <v>120</v>
      </c>
      <c r="O45" s="74">
        <v>90</v>
      </c>
      <c r="P45" s="74">
        <v>4</v>
      </c>
      <c r="Q45" s="74">
        <v>2</v>
      </c>
      <c r="R45" s="74">
        <v>6</v>
      </c>
      <c r="S45" s="74">
        <v>36</v>
      </c>
      <c r="T45" s="74">
        <v>700</v>
      </c>
      <c r="U45" s="74">
        <v>4</v>
      </c>
      <c r="V45" s="74">
        <v>10</v>
      </c>
      <c r="W45" s="74">
        <v>20</v>
      </c>
      <c r="X45" s="74">
        <v>9</v>
      </c>
      <c r="Y45" s="74">
        <v>80</v>
      </c>
      <c r="Z45" s="74">
        <v>320</v>
      </c>
      <c r="AA45" s="74">
        <v>240</v>
      </c>
      <c r="AB45" s="74"/>
    </row>
    <row r="46" spans="1:32">
      <c r="B46" s="74" t="s">
        <v>134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135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