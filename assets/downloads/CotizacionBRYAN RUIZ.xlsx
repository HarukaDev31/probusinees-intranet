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<sst xmlns="http://schemas.openxmlformats.org/spreadsheetml/2006/main" uniqueCount="119">
  <si>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</si>
  <si>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</si>
  <si>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</si>
  <si>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</si>
  <si>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</si>
  <si>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</si>
  <si>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</si>
  <si>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</si>
  <si>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</si>
  <si>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</si>
  <si>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</si>
  <si>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</si>
  <si>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</si>
  <si>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</si>
  <si>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</si>
  <si>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</si>
  <si>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</si>
  <si>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929 610 511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</si>
  <si>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</si>
  <si>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</si>
  <si>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</si>
  <si>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</si>
  <si>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</si>
  <si>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</si>
  <si>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</si>
  <si>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</si>
  <si>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</si>
  <si>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</si>
  <si>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</si>
  <si>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</si>
  <si>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</si>
  <si>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</si>
  <si>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</si>
  <si>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</si>
  <si>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</si>
  <si>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</si>
  <si>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</si>
  <si>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</si>
  <si>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</si>
  <si>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</si>
  <si>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</si>
  <si>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</si>
  <si>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</si>
  <si>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</si>
  <si>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</si>
  <si>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</si>
  <si>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</si>
  <si>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</si>
  <si>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</si>
  <si>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TORRE PARA GATOS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</si>
  <si>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</si>
  <si>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</si>
  <si>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</si>
  <si>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</si>
  <si>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</si>
  <si>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</si>
  <si>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</si>
  <si>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</si>
  <si>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</si>
  <si>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</si>
  <si>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</si>
  <si>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</si>
  <si>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</si>
  <si>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</si>
  <si>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</si>
  <si>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</si>
  <si>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</si>
  <si>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</si>
  <si>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</si>
  <si>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</si>
  <si>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</si>
  <si>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</si>
  <si>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</si>
  <si>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</si>
  <si>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</si>
  <si>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</si>
  <si>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</si>
  <si>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</si>
  <si>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</si>
  <si>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</si>
  <si>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</si>
  <si>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</si>
  <si>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</si>
  <si>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</si>
  <si>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</si>
  <si>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</si>
  <si>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</si>
  <si>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</si>
  <si>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haruka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</si>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</sst>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83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1370.4</v>
      </c>
      <c r="K9" s="49"/>
      <c r="L9" s="49"/>
    </row>
    <row r="10" spans="1:13">
      <c r="B10" s="10" t="s">
        <v>12</v>
      </c>
      <c r="C10" s="19">
        <v>47976981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2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83</v>
      </c>
      <c r="D12" t="str">
        <f>SUM(C12:C12)</f>
        <v>0</v>
      </c>
    </row>
    <row r="13" spans="1:26">
      <c r="B13" t="s">
        <v>95</v>
      </c>
      <c r="C13">
        <v>1370.4</v>
      </c>
      <c r="D13" t="str">
        <f>SUM(C13:C13)</f>
        <v>0</v>
      </c>
    </row>
    <row r="14" spans="1:26">
      <c r="B14" t="s">
        <v>96</v>
      </c>
      <c r="C14">
        <v>2</v>
      </c>
      <c r="D14" t="str">
        <f>SUM(C14:C14)</f>
        <v>0</v>
      </c>
    </row>
    <row r="15" spans="1:26">
      <c r="B15" t="s">
        <v>97</v>
      </c>
      <c r="C15">
        <v>31.333333333333</v>
      </c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>
        <v>6</v>
      </c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D14*0.6*300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-*C17</f>
        <v>0</v>
      </c>
      <c r="D31" t="str">
        <f>SUM(C31:C31)</f>
        <v>0</v>
      </c>
    </row>
    <row r="33" spans="1:26">
      <c r="C33" s="90" t="str">
        <f>0</f>
        <v>0</v>
      </c>
    </row>
    <row r="34" spans="1:26">
      <c r="B34" t="s">
        <v>108</v>
      </c>
      <c r="C34" t="str">
        <f>0*C23</f>
        <v>0</v>
      </c>
      <c r="D34" t="str">
        <f>SUM(C34:C34)</f>
        <v>0</v>
      </c>
    </row>
    <row r="35" spans="1:26">
      <c r="B35" t="s">
        <v>109</v>
      </c>
      <c r="C35" t="str">
        <f>C23*0.16</f>
        <v>0</v>
      </c>
      <c r="D35" t="str">
        <f>SUM(C35:C35)</f>
        <v>0</v>
      </c>
    </row>
    <row r="36" spans="1:26">
      <c r="B36" t="s">
        <v>110</v>
      </c>
      <c r="C36" t="str">
        <f>C23*0.02</f>
        <v>0</v>
      </c>
      <c r="D36" t="str">
        <f>SUM(C36:C36)</f>
        <v>0</v>
      </c>
    </row>
    <row r="37" spans="1:26">
      <c r="B37" t="s">
        <v>111</v>
      </c>
      <c r="C37" t="str">
        <f>C23*0.035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112</v>
      </c>
    </row>
    <row r="40" spans="1:26">
      <c r="T40">
        <v>3.7</v>
      </c>
    </row>
    <row r="42" spans="1:26">
      <c r="B42" s="87" t="s">
        <v>113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114</v>
      </c>
      <c r="C45" t="str">
        <f>D45*C19</f>
        <v>0</v>
      </c>
      <c r="D45" t="str">
        <f>D14*0.4*300</f>
        <v>0</v>
      </c>
    </row>
    <row r="48" spans="1:26">
      <c r="B48" s="87" t="s">
        <v>115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114</v>
      </c>
      <c r="C50" t="s">
        <v>49</v>
      </c>
    </row>
    <row r="51" spans="1:26">
      <c r="B51" t="s">
        <v>116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117</v>
      </c>
      <c r="C53" t="str">
        <f>C51/C52</f>
        <v>0</v>
      </c>
    </row>
    <row r="54" spans="1:26">
      <c r="B54" t="s">
        <v>118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