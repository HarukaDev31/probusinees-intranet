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" sheetId="1" r:id="rId4"/>
    <sheet name="2" sheetId="2" r:id="rId5"/>
  </sheets>
  <definedNames>
    <definedName name="_xlnm.Print_Area" localSheetId="0">'1'!$A$1:$M$122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<sst xmlns="http://schemas.openxmlformats.org/spreadsheetml/2006/main" uniqueCount="136">
  <si>
    <t>PRO MUNDO COMEX S.A.C.</t>
  </si>
  <si>
    <t xml:space="preserve">         RUC: 20612452432</t>
  </si>
  <si>
    <t>COTIZACION N002</t>
  </si>
  <si>
    <t>NOMBRE:</t>
  </si>
  <si>
    <t>BRYAN RUIZ</t>
  </si>
  <si>
    <t>SERVICIO:</t>
  </si>
  <si>
    <t>CARGA CONSOLIDADA</t>
  </si>
  <si>
    <t>N° CAJAS:</t>
  </si>
  <si>
    <t>APELLIDO:</t>
  </si>
  <si>
    <t>FECHA:</t>
  </si>
  <si>
    <t>PESO:</t>
  </si>
  <si>
    <t>1.3704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</si>
  <si>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</si>
  <si>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</si>
  <si>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</si>
  <si>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</si>
  <si>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</si>
  <si>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</si>
  <si>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</si>
  <si>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</si>
  <si>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</si>
  <si>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</si>
  <si>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</si>
  <si>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</si>
  <si>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</si>
  <si>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</si>
  <si>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</si>
  <si>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</si>
  <si>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</si>
  <si>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</si>
  <si>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BRYAN RUIZ 😁 un gusto saludarte!
        A continuación te envío la cotización final de tu importación📋📦.
        🙋‍♂️ PAGO PENDIENTE :
        ☑️Costo CBM: $356.4
        ☑️Impuestos: $3679.72
        ☑️ Total: $4036.12
        Pronto le aviso nuevos avances, que tengan buen día🚢
        Último día de pago:</t>
  </si>
  <si>
    <t>IGV</t>
  </si>
  <si>
    <t>IPM</t>
  </si>
  <si>
    <t>ANTIDUMPING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</si>
  <si>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</si>
  <si>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</si>
  <si>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</si>
  <si>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</si>
  <si>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</si>
  <si>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</si>
  <si>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</si>
  <si>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</si>
  <si>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</si>
  <si>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</si>
  <si>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</si>
  <si>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</si>
  <si>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</si>
  <si>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</si>
  <si>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</si>
  <si>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</si>
  <si>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CERRADURA DIGITAL</t>
  </si>
  <si>
    <t>TORRE PARA GATOS</t>
  </si>
  <si>
    <t>RUEDA PARA GATOS</t>
  </si>
  <si>
    <t>GORROS DEPORTIVOS</t>
  </si>
  <si>
    <t>CORREA PARA MASCOTA</t>
  </si>
  <si>
    <t>PANTALON LEGGIN PARA DEPORTE</t>
  </si>
  <si>
    <t>SHORT DEPORTIVO</t>
  </si>
  <si>
    <t>TRICICLO PLEGABLE MULTIFUNCIONAL</t>
  </si>
  <si>
    <t>FOCOS LED 12W</t>
  </si>
  <si>
    <t>REBANADOR MULTIFUNCIONAL PARA PLATANOS</t>
  </si>
  <si>
    <t>ROLLO DE ETIQUETA ADHESIVA COLOR</t>
  </si>
  <si>
    <t>ROLLO DE ETIQUETA ADHESIVA BLANCA</t>
  </si>
  <si>
    <t>ETIQUETA ADHESIVA TERMINCAS BLANCA</t>
  </si>
  <si>
    <t>MAQUINA PARA PALOMITAS DE MAÍZ ZA-12</t>
  </si>
  <si>
    <t>CALENTADOR PARA PALOMITAS DE MAÍZ ZA-650</t>
  </si>
  <si>
    <t>MAQUINA PARA PALOMITAS DE MAÍZ ZA-08</t>
  </si>
  <si>
    <t>DISPENSADOR DE AGUA CON FILTRO PURIFICADOR</t>
  </si>
  <si>
    <t>MANIJA DOBLE PARA PUERTAS DE VIDRIO</t>
  </si>
  <si>
    <t>LAMPARA DE TECHO PARA COMEDOR</t>
  </si>
  <si>
    <t>LAMPARA LED DE TECHO PARA SALA</t>
  </si>
  <si>
    <t>LAMPARA LED PARA TECHO 3 ANILLOS</t>
  </si>
  <si>
    <t>LAMPARA LED DE TECHO MODERNO</t>
  </si>
  <si>
    <t>ETIQUETAS ADHESIVAS TÉRMICAS HOLOGRÁFICAS 5CM</t>
  </si>
  <si>
    <t>ETIQUETAS ADHESIVAS TÉRMICAS HOLOGRÁFICAS 3CM</t>
  </si>
  <si>
    <t>ETIQUETAS TERMICAS IMPERMEABLES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</si>
  <si>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</si>
  <si>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</si>
  <si>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</si>
  <si>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</si>
  <si>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</si>
  <si>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</si>
  <si>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</si>
  <si>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</si>
  <si>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</si>
  <si>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</si>
  <si>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</si>
  <si>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</si>
  <si>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</si>
  <si>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</si>
  <si>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</si>
  <si>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</si>
  <si>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</si>
  <si>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</si>
  <si>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</si>
  <si>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</si>
  <si>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</si>
  <si>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</si>
  <si>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</si>
  <si>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</si>
  <si>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</si>
  <si>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</si>
  <si>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</si>
  <si>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</si>
  <si>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</si>
  <si>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</si>
  <si>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</si>
  <si>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</si>
  <si>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</si>
  <si>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</si>
  <si>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Calculo de Tributos</t>
  </si>
  <si>
    <t>Nombres</t>
  </si>
  <si>
    <t>Total</t>
  </si>
  <si>
    <t>Peso</t>
  </si>
  <si>
    <t>Tipo Cliente</t>
  </si>
  <si>
    <t>Tarifa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</si>
  <si>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</si>
  <si>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</si>
  <si>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</si>
  <si>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</si>
  <si>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</si>
  <si>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</si>
  <si>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</si>
  <si>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</si>
  <si>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</si>
  <si>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</si>
  <si>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</si>
  <si>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</si>
  <si>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</si>
  <si>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Tributos Aplicables</t>
  </si>
  <si>
    <t>AD VALOREM</t>
  </si>
  <si>
    <t>PERCEPCION</t>
  </si>
  <si>
    <t>Costos Destinos</t>
  </si>
  <si>
    <t>ITEM</t>
  </si>
  <si>
    <t>COSTO TOTAL</t>
  </si>
  <si>
    <t>COSTO UNITARIO</t>
  </si>
  <si>
    <t>COSTO SOLES</t>
  </si>
</sst>
</file>

<file path=xl/styles.xml><?xml version="1.0" encoding="utf-8"?>
<styleSheet xmlns="http://schemas.openxmlformats.org/spreadsheetml/2006/main" xml:space="preserve">
  <numFmts count="10">
    <numFmt numFmtId="164" formatCode="_-[$$-409]* #,##0.00_ ;_-[$$-409]* \-#,##0.00\ ;_-[$$-409]* &quot;-&quot;??_ ;_-@_ "/>
    <numFmt numFmtId="165" formatCode="[$$-409]#,##0"/>
    <numFmt numFmtId="166" formatCode="_-[$$-540A]* #,##0.00_ ;_-[$$-540A]* \-#,##0.00\ ;_-[$$-540A]* &quot;-&quot;??_ ;_-@_ "/>
    <numFmt numFmtId="167" formatCode="_-[$S/-280A]\ * #,##0.00_-;\-[$S/-280A]\ * #,##0.00_-;_-[$S/-280A]\ * &quot;-&quot;??_-;_-@_-"/>
    <numFmt numFmtId="168" formatCode="0.0\ &quot;kg&quot;"/>
    <numFmt numFmtId="169" formatCode="0.0\ &quot;cm&quot;"/>
    <numFmt numFmtId="170" formatCode="#,##0.000\ &quot;m3&quot;"/>
    <numFmt numFmtId="171" formatCode="&quot;$&quot;#,##0.00_-"/>
    <numFmt numFmtId="172" formatCode="0.00&quot; tn&quot;"/>
    <numFmt numFmtId="173" formatCode="&quot;S/.&quot; #,##0.00_-"/>
  </numFmts>
  <fonts count="2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000000"/>
      <name val="Calibri Light"/>
    </font>
    <font>
      <b val="0"/>
      <i val="0"/>
      <strike val="0"/>
      <u val="none"/>
      <sz val="11"/>
      <color rgb="FFFFFFFF"/>
      <name val="Calibri Light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</font>
    <font>
      <b val="1"/>
      <i val="0"/>
      <strike val="0"/>
      <u val="none"/>
      <sz val="11"/>
      <color rgb="FFFFFFFF"/>
      <name val="Calibri Light"/>
    </font>
    <font>
      <b val="0"/>
      <i val="0"/>
      <strike val="0"/>
      <u val="none"/>
      <sz val="14"/>
      <color rgb="FF000000"/>
      <name val="Calibri Light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4"/>
      <color rgb="FF000000"/>
      <name val="Calibri Light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8F9F9"/>
        <bgColor rgb="FF000000"/>
      </patternFill>
    </fill>
    <fill>
      <patternFill patternType="solid">
        <fgColor rgb="1F618D"/>
        <bgColor rgb="FF000000"/>
      </patternFill>
    </fill>
    <fill>
      <patternFill patternType="solid">
        <fgColor rgb="FFFF33"/>
        <bgColor rgb="FF000000"/>
      </patternFill>
    </fill>
    <fill>
      <patternFill patternType="solid">
        <fgColor rgb="009999"/>
        <bgColor rgb="FFFFFFFF"/>
      </patternFill>
    </fill>
    <fill>
      <patternFill patternType="solid">
        <fgColor rgb="FFFF33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164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165" fillId="3" borderId="0" applyFont="1" applyNumberFormat="1" applyFill="1" applyBorder="0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166" fillId="3" borderId="0" applyFont="1" applyNumberFormat="1" applyFill="1" applyBorder="0" applyAlignment="1">
      <alignment horizontal="center" vertical="bottom" textRotation="0" wrapText="false" shrinkToFit="false"/>
    </xf>
    <xf xfId="0" fontId="2" numFmtId="166" fillId="3" borderId="2" applyFont="1" applyNumberFormat="1" applyFill="1" applyBorder="1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9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center" vertical="bottom" textRotation="0" wrapText="false" shrinkToFit="false"/>
    </xf>
    <xf xfId="0" fontId="3" numFmtId="0" fillId="3" borderId="3" applyFont="1" applyNumberFormat="0" applyFill="1" applyBorder="1" applyAlignment="0">
      <alignment horizontal="general" vertical="bottom" textRotation="0" wrapText="false" shrinkToFit="false"/>
    </xf>
    <xf xfId="0" fontId="3" numFmtId="0" fillId="3" borderId="4" applyFont="1" applyNumberFormat="0" applyFill="1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0">
      <alignment horizontal="general" vertical="bottom" textRotation="0" wrapText="false" shrinkToFit="false"/>
    </xf>
    <xf xfId="0" fontId="6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bottom" textRotation="0" wrapText="false" shrinkToFit="false"/>
    </xf>
    <xf xfId="0" fontId="2" numFmtId="166" fillId="3" borderId="7" applyFont="1" applyNumberFormat="1" applyFill="1" applyBorder="1" applyAlignment="1">
      <alignment horizontal="center" vertical="bottom" textRotation="0" wrapText="false" shrinkToFit="false"/>
    </xf>
    <xf xfId="0" fontId="0" numFmtId="167" fillId="3" borderId="1" applyFont="0" applyNumberFormat="1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4" numFmtId="0" fillId="3" borderId="8" applyFont="1" applyNumberFormat="0" applyFill="1" applyBorder="1" applyAlignment="0">
      <alignment horizontal="general" vertical="bottom" textRotation="0" wrapText="false" shrinkToFit="false"/>
    </xf>
    <xf xfId="0" fontId="6" numFmtId="0" fillId="3" borderId="8" applyFont="1" applyNumberFormat="0" applyFill="1" applyBorder="1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2" numFmtId="168" fillId="7" borderId="0" applyFont="1" applyNumberFormat="1" applyFill="1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14" fillId="3" borderId="0" applyFont="1" applyNumberFormat="1" applyFill="1" applyBorder="0" applyAlignment="1">
      <alignment horizontal="left" vertical="bottom" textRotation="0" wrapText="false" shrinkToFit="false"/>
    </xf>
    <xf xfId="0" fontId="2" numFmtId="14" fillId="3" borderId="8" applyFont="1" applyNumberFormat="1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8" applyFont="0" applyNumberFormat="0" applyFill="1" applyBorder="1" applyAlignment="0">
      <alignment horizontal="general" vertical="bottom" textRotation="0" wrapText="false" shrinkToFit="false"/>
    </xf>
    <xf xfId="0" fontId="2" numFmtId="0" fillId="3" borderId="7" applyFont="1" applyNumberFormat="0" applyFill="1" applyBorder="1" applyAlignment="0">
      <alignment horizontal="general" vertical="bottom" textRotation="0" wrapText="false" shrinkToFit="false"/>
    </xf>
    <xf xfId="0" fontId="2" numFmtId="0" fillId="3" borderId="9" applyFont="1" applyNumberFormat="0" applyFill="1" applyBorder="1" applyAlignment="0">
      <alignment horizontal="general" vertical="bottom" textRotation="0" wrapText="false" shrinkToFit="false"/>
    </xf>
    <xf xfId="0" fontId="6" numFmtId="167" fillId="4" borderId="1" applyFont="1" applyNumberFormat="1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9" numFmtId="0" fillId="6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center" vertical="bottom" textRotation="0" wrapText="false" shrinkToFit="false"/>
    </xf>
    <xf xfId="0" fontId="0" numFmtId="0" fillId="3" borderId="11" applyFont="0" applyNumberFormat="0" applyFill="1" applyBorder="1" applyAlignment="1">
      <alignment horizontal="center" vertical="bottom" textRotation="0" wrapText="false" shrinkToFit="false"/>
    </xf>
    <xf xfId="0" fontId="11" numFmtId="0" fillId="4" borderId="10" applyFont="1" applyNumberFormat="0" applyFill="1" applyBorder="1" applyAlignment="1">
      <alignment horizontal="center" vertical="bottom" textRotation="0" wrapText="false" shrinkToFit="false"/>
    </xf>
    <xf xfId="0" fontId="11" numFmtId="0" fillId="4" borderId="6" applyFont="1" applyNumberFormat="0" applyFill="1" applyBorder="1" applyAlignment="1">
      <alignment horizontal="center" vertical="bottom" textRotation="0" wrapText="false" shrinkToFit="false"/>
    </xf>
    <xf xfId="0" fontId="11" numFmtId="0" fillId="4" borderId="11" applyFont="1" applyNumberFormat="0" applyFill="1" applyBorder="1" applyAlignment="1">
      <alignment horizontal="center" vertical="bottom" textRotation="0" wrapText="false" shrinkToFit="false"/>
    </xf>
    <xf xfId="0" fontId="2" numFmtId="0" fillId="7" borderId="0" applyFont="1" applyNumberFormat="0" applyFill="1" applyBorder="0" applyAlignment="1">
      <alignment horizontal="center" vertical="bottom" textRotation="0" wrapText="false" shrinkToFit="false"/>
    </xf>
    <xf xfId="0" fontId="2" numFmtId="169" fillId="7" borderId="0" applyFont="1" applyNumberFormat="1" applyFill="1" applyBorder="0" applyAlignment="1">
      <alignment horizontal="center" vertical="bottom" textRotation="0" wrapText="false" shrinkToFit="false"/>
    </xf>
    <xf xfId="0" fontId="1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12" applyFont="1" applyNumberFormat="0" applyFill="1" applyBorder="1" applyAlignment="0">
      <alignment horizontal="general" vertical="bottom" textRotation="0" wrapText="false" shrinkToFit="false"/>
    </xf>
    <xf xfId="0" fontId="13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2" applyFont="1" applyNumberFormat="0" applyFill="1" applyBorder="1" applyAlignment="1">
      <alignment horizontal="left" vertical="bottom" textRotation="0" wrapText="false" shrinkToFit="false"/>
    </xf>
    <xf xfId="0" fontId="13" numFmtId="0" fillId="4" borderId="0" applyFont="1" applyNumberFormat="0" applyFill="1" applyBorder="0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170" fillId="7" borderId="0" applyFont="1" applyNumberFormat="1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true" shrinkToFit="true"/>
    </xf>
    <xf xfId="0" fontId="0" numFmtId="0" fillId="2" borderId="1" applyFont="0" applyNumberFormat="0" applyFill="0" applyBorder="1" applyAlignment="1">
      <alignment horizontal="center" vertical="center" textRotation="0" wrapText="false" shrinkToFit="true"/>
    </xf>
    <xf xfId="0" fontId="6" numFmtId="0" fillId="9" borderId="1" applyFont="1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0">
      <alignment horizontal="general" vertical="bottom" textRotation="0" wrapText="false" shrinkToFit="false"/>
    </xf>
    <xf xfId="0" fontId="6" numFmtId="0" fillId="9" borderId="1" applyFont="1" applyNumberFormat="0" applyFill="1" applyBorder="1" applyAlignment="0">
      <alignment horizontal="general" vertical="bottom" textRotation="0" wrapText="false" shrinkToFit="false"/>
    </xf>
    <xf xfId="0" fontId="0" numFmtId="171" fillId="2" borderId="1" applyFont="0" applyNumberFormat="1" applyFill="0" applyBorder="1" applyAlignment="0">
      <alignment horizontal="general" vertical="bottom" textRotation="0" wrapText="false" shrinkToFit="false"/>
    </xf>
    <xf xfId="0" fontId="0" numFmtId="172" fillId="2" borderId="1" applyFont="0" applyNumberFormat="1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10" fillId="2" borderId="1" applyFont="0" applyNumberFormat="1" applyFill="0" applyBorder="1" applyAlignment="0">
      <alignment horizontal="general" vertical="bottom" textRotation="0" wrapText="false" shrinkToFit="false"/>
    </xf>
    <xf xfId="0" fontId="0" numFmtId="173" fillId="2" borderId="1" applyFont="0" applyNumberFormat="1" applyFill="0" applyBorder="1" applyAlignment="0">
      <alignment horizontal="general" vertical="bottom" textRotation="0" wrapText="false" shrinkToFit="false"/>
    </xf>
    <xf xfId="0" fontId="1" numFmtId="171" fillId="2" borderId="1" applyFont="1" applyNumberFormat="1" applyFill="0" applyBorder="1" applyAlignment="0">
      <alignment horizontal="general" vertical="bottom" textRotation="0" wrapText="false" shrinkToFit="false"/>
    </xf>
    <xf xfId="0" fontId="15" numFmtId="10" fillId="2" borderId="1" applyFont="1" applyNumberFormat="1" applyFill="0" applyBorder="1" applyAlignment="0">
      <alignment horizontal="general" vertical="bottom" textRotation="0" wrapText="false" shrinkToFit="false"/>
    </xf>
    <xf xfId="0" fontId="1" numFmtId="171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11" borderId="1" applyFont="1" applyNumberFormat="1" applyFill="1" applyBorder="1" applyAlignment="1">
      <alignment horizontal="center" vertical="bottom" textRotation="0" wrapText="false" shrinkToFit="false"/>
    </xf>
    <xf xfId="0" fontId="17" numFmtId="167" fillId="3" borderId="1" applyFont="1" applyNumberFormat="1" applyFill="1" applyBorder="1" applyAlignment="1">
      <alignment horizontal="left" vertical="bottom" textRotation="0" wrapText="false" shrinkToFit="false"/>
    </xf>
    <xf xfId="0" fontId="18" numFmtId="0" fillId="3" borderId="1" applyFont="1" applyNumberFormat="0" applyFill="1" applyBorder="1" applyAlignment="1">
      <alignment horizontal="center" vertical="bottom" textRotation="0" wrapText="false" shrinkToFit="false"/>
    </xf>
    <xf xfId="0" fontId="12" numFmtId="0" fillId="3" borderId="1" applyFont="1" applyNumberFormat="0" applyFill="1" applyBorder="1" applyAlignment="0">
      <alignment horizontal="general" vertical="bottom" textRotation="0" wrapText="false" shrinkToFit="false"/>
    </xf>
    <xf xfId="0" fontId="19" numFmtId="0" fillId="3" borderId="1" applyFont="1" applyNumberFormat="0" applyFill="1" applyBorder="1" applyAlignment="1">
      <alignment horizontal="center" vertical="bottom" textRotation="0" wrapText="false" shrinkToFit="false"/>
    </xf>
    <xf xfId="0" fontId="19" numFmtId="171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12" borderId="2" applyFont="1" applyNumberFormat="0" applyFill="1" applyBorder="1" applyAlignment="0">
      <alignment horizontal="general" vertical="bottom" textRotation="0" wrapText="false" shrinkToFit="false"/>
    </xf>
    <xf xfId="0" fontId="0" numFmtId="9" fillId="12" borderId="0" applyFont="0" applyNumberFormat="1" applyFill="1" applyBorder="0" applyAlignment="1">
      <alignment horizontal="center" vertical="bottom" textRotation="0" wrapText="false" shrinkToFit="false"/>
    </xf>
    <xf xfId="0" fontId="2" numFmtId="166" fillId="12" borderId="0" applyFont="1" applyNumberFormat="1" applyFill="1" applyBorder="0" applyAlignment="1">
      <alignment horizontal="center" vertical="bottom" textRotation="0" wrapText="false" shrinkToFit="false"/>
    </xf>
    <xf xfId="0" fontId="2" numFmtId="0" fillId="12" borderId="0" applyFont="1" applyNumberFormat="0" applyFill="1" applyBorder="0" applyAlignment="1">
      <alignment horizontal="center" vertical="bottom" textRotation="0" wrapText="false" shrinkToFit="false"/>
    </xf>
    <xf xfId="0" fontId="2" numFmtId="4" fillId="7" borderId="0" applyFont="1" applyNumberFormat="1" applyFill="1" applyBorder="0" applyAlignment="1">
      <alignment horizontal="center" vertical="bottom" textRotation="0" wrapText="false" shrinkToFit="false"/>
    </xf>
    <xf xfId="0" fontId="2" numFmtId="1" fillId="7" borderId="0" applyFont="1" applyNumberFormat="1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67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695325</xdr:colOff>
      <xdr:row>103</xdr:row>
      <xdr:rowOff>104775</xdr:rowOff>
    </xdr:from>
    <xdr:ext cx="4057650" cy="3429000"/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9"/>
  <sheetViews>
    <sheetView tabSelected="1" workbookViewId="0" zoomScale="85" zoomScaleNormal="85" showGridLines="false" showRowColHeaders="1">
      <selection activeCell="C8" sqref="C8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11.711426" bestFit="true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 s="0" customForma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4" customHeight="1" ht="18">
      <c r="B2" s="38"/>
      <c r="C2" s="38"/>
      <c r="E2" s="43"/>
      <c r="F2" s="43"/>
      <c r="G2" s="43"/>
      <c r="H2" s="43"/>
      <c r="I2" s="43"/>
      <c r="J2" s="43"/>
      <c r="K2" s="43"/>
      <c r="L2" s="43"/>
    </row>
    <row r="3" spans="1:14" customHeight="1" ht="25.8">
      <c r="B3" s="38"/>
      <c r="C3" s="38"/>
      <c r="E3" s="54" t="s">
        <v>0</v>
      </c>
      <c r="F3" s="54"/>
      <c r="G3" s="54"/>
      <c r="H3" s="54"/>
      <c r="I3" s="54"/>
      <c r="J3" s="54"/>
    </row>
    <row r="4" spans="1:14" customHeight="1" ht="25.8">
      <c r="B4" s="38"/>
      <c r="C4" s="38"/>
      <c r="E4" s="55" t="s">
        <v>1</v>
      </c>
      <c r="F4" s="55"/>
      <c r="G4" s="55"/>
      <c r="H4" s="55"/>
      <c r="I4" s="55"/>
      <c r="J4" s="55"/>
      <c r="K4" s="13"/>
    </row>
    <row r="5" spans="1:14">
      <c r="B5" s="38"/>
      <c r="C5" s="38"/>
      <c r="D5" s="36"/>
    </row>
    <row r="6" spans="1:14">
      <c r="B6" s="38"/>
      <c r="C6" s="38"/>
      <c r="D6" s="25"/>
      <c r="F6" s="25"/>
      <c r="G6" s="25"/>
      <c r="H6" s="25"/>
    </row>
    <row r="7" spans="1:14">
      <c r="A7" s="38"/>
      <c r="B7" s="38"/>
      <c r="C7" s="38"/>
      <c r="E7" s="40" t="s">
        <v>2</v>
      </c>
      <c r="F7" s="40"/>
      <c r="G7" s="40"/>
      <c r="I7" s="38"/>
      <c r="J7" s="38"/>
      <c r="K7" s="38"/>
      <c r="L7" s="38"/>
    </row>
    <row r="8" spans="1:14">
      <c r="B8" s="8" t="s">
        <v>3</v>
      </c>
      <c r="C8" s="101" t="s">
        <v>4</v>
      </c>
      <c r="D8" s="34"/>
      <c r="E8" s="22" t="s">
        <v>5</v>
      </c>
      <c r="F8" s="45" t="s">
        <v>6</v>
      </c>
      <c r="G8" s="46"/>
      <c r="H8" s="33"/>
      <c r="I8" s="1" t="s">
        <v>7</v>
      </c>
      <c r="J8" s="62" t="str">
        <f>+'2'!F7</f>
        <v>0</v>
      </c>
      <c r="K8" s="62"/>
      <c r="L8" s="62"/>
    </row>
    <row r="9" spans="1:14">
      <c r="B9" s="8" t="s">
        <v>8</v>
      </c>
      <c r="C9" s="16"/>
      <c r="D9" s="34"/>
      <c r="E9" s="23" t="s">
        <v>9</v>
      </c>
      <c r="F9" s="41" t="str">
        <f>+TODAY()</f>
        <v>0</v>
      </c>
      <c r="G9" s="42"/>
      <c r="H9" s="33"/>
      <c r="I9" s="1" t="s">
        <v>10</v>
      </c>
      <c r="J9" s="100" t="s">
        <v>11</v>
      </c>
      <c r="K9" s="39"/>
      <c r="L9" s="39"/>
    </row>
    <row r="10" spans="1:14">
      <c r="B10" s="8" t="s">
        <v>12</v>
      </c>
      <c r="C10" s="16">
        <v>47976981</v>
      </c>
      <c r="D10" s="34"/>
      <c r="E10" s="27" t="s">
        <v>13</v>
      </c>
      <c r="F10" s="43" t="s">
        <v>14</v>
      </c>
      <c r="G10" s="44"/>
      <c r="H10" s="33"/>
      <c r="I10" s="1" t="s">
        <v>15</v>
      </c>
      <c r="J10" s="63"/>
      <c r="K10" s="100"/>
      <c r="L10" s="63"/>
    </row>
    <row r="11" spans="1:14">
      <c r="B11" s="8" t="s">
        <v>16</v>
      </c>
      <c r="C11" s="17">
        <v>51934958839</v>
      </c>
      <c r="D11" s="35"/>
      <c r="E11" s="24" t="s">
        <v>17</v>
      </c>
      <c r="F11" s="48" t="s">
        <v>18</v>
      </c>
      <c r="G11" s="65"/>
      <c r="H11" s="33"/>
      <c r="I11" s="1" t="s">
        <v>19</v>
      </c>
      <c r="J11" s="99" t="str">
        <f>'2'!AB7</f>
        <v>0</v>
      </c>
      <c r="K11" s="73"/>
      <c r="L11" s="73"/>
    </row>
    <row r="12" spans="1:14"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4">
      <c r="B13" s="66" t="s">
        <v>20</v>
      </c>
      <c r="C13" s="66"/>
      <c r="D13" s="66"/>
      <c r="E13" s="66"/>
      <c r="F13" s="66"/>
      <c r="G13" s="66"/>
      <c r="H13" s="66"/>
      <c r="I13" s="66"/>
      <c r="J13" s="66"/>
      <c r="K13" s="10" t="s">
        <v>21</v>
      </c>
      <c r="L13" s="10" t="s">
        <v>22</v>
      </c>
    </row>
    <row r="14" spans="1:14">
      <c r="B14" s="67" t="s">
        <v>23</v>
      </c>
      <c r="C14" s="67"/>
      <c r="D14" s="67"/>
      <c r="E14" s="67"/>
      <c r="F14" s="67"/>
      <c r="G14" s="67"/>
      <c r="H14" s="67"/>
      <c r="I14" s="67"/>
      <c r="J14" s="67"/>
      <c r="K14" s="14" t="str">
        <f>'2'!AB11</f>
        <v>0</v>
      </c>
      <c r="L14" s="9" t="s">
        <v>24</v>
      </c>
    </row>
    <row r="15" spans="1:14">
      <c r="B15" s="68" t="s">
        <v>25</v>
      </c>
      <c r="C15" s="68"/>
      <c r="D15" s="68"/>
      <c r="E15" s="68"/>
      <c r="F15" s="68"/>
      <c r="G15" s="68"/>
      <c r="H15" s="68"/>
      <c r="I15" s="68"/>
      <c r="J15" s="68"/>
      <c r="K15" s="15" t="str">
        <f>'2'!AB14 + '2'!AB17</f>
        <v>0</v>
      </c>
      <c r="L15" s="12" t="s">
        <v>24</v>
      </c>
    </row>
    <row r="16" spans="1:14">
      <c r="B16" s="51" t="s">
        <v>26</v>
      </c>
      <c r="C16" s="51"/>
      <c r="D16" s="51"/>
      <c r="E16" s="51"/>
      <c r="F16" s="51"/>
      <c r="G16" s="51"/>
      <c r="H16" s="51"/>
      <c r="I16" s="51"/>
      <c r="J16" s="51"/>
      <c r="K16" s="14" t="str">
        <f>SUM(K14:K15)</f>
        <v>0</v>
      </c>
      <c r="L16" s="9" t="s">
        <v>24</v>
      </c>
    </row>
    <row r="17" spans="1:14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4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4">
      <c r="B19" s="69" t="s">
        <v>27</v>
      </c>
      <c r="C19" s="69"/>
      <c r="D19" s="69"/>
      <c r="E19" s="69"/>
      <c r="F19" s="69"/>
      <c r="G19" s="18"/>
      <c r="H19" s="18"/>
      <c r="I19" s="18"/>
      <c r="J19" s="10" t="s">
        <v>28</v>
      </c>
      <c r="K19" s="10" t="s">
        <v>21</v>
      </c>
      <c r="L19" s="10" t="s">
        <v>22</v>
      </c>
    </row>
    <row r="20" spans="1:14">
      <c r="B20" s="49" t="s">
        <v>29</v>
      </c>
      <c r="C20" s="49"/>
      <c r="D20" s="49"/>
      <c r="E20" s="49"/>
      <c r="F20" s="49"/>
      <c r="G20" s="49"/>
      <c r="H20" s="49"/>
      <c r="I20" s="49"/>
      <c r="J20" s="20" t="str">
        <f>MAX('2'!C27:AA27)</f>
        <v>0</v>
      </c>
      <c r="K20" s="14" t="str">
        <f>'2'!AB28</f>
        <v>0</v>
      </c>
      <c r="L20" s="9" t="s">
        <v>24</v>
      </c>
      <c r="N20" t="s">
        <v>30</v>
      </c>
    </row>
    <row r="21" spans="1:14">
      <c r="B21" s="49" t="s">
        <v>31</v>
      </c>
      <c r="C21" s="49"/>
      <c r="D21" s="49"/>
      <c r="E21" s="49"/>
      <c r="F21" s="49"/>
      <c r="G21" s="49"/>
      <c r="H21" s="49"/>
      <c r="I21" s="49"/>
      <c r="J21" s="20">
        <v>0.16</v>
      </c>
      <c r="K21" s="14" t="str">
        <f>'2'!AB29</f>
        <v>0</v>
      </c>
      <c r="L21" s="9" t="s">
        <v>24</v>
      </c>
    </row>
    <row r="22" spans="1:14">
      <c r="B22" s="48" t="s">
        <v>32</v>
      </c>
      <c r="C22" s="48"/>
      <c r="D22" s="48"/>
      <c r="E22" s="48"/>
      <c r="F22" s="48"/>
      <c r="G22" s="48"/>
      <c r="H22" s="48"/>
      <c r="I22" s="48"/>
      <c r="J22" s="20">
        <v>0.02</v>
      </c>
      <c r="K22" s="14" t="str">
        <f>'2'!AB30</f>
        <v>0</v>
      </c>
      <c r="L22" s="9" t="s">
        <v>24</v>
      </c>
    </row>
    <row r="23" spans="1:14">
      <c r="B23" s="95" t="s">
        <v>33</v>
      </c>
      <c r="C23" s="95"/>
      <c r="D23" s="95"/>
      <c r="E23" s="95"/>
      <c r="F23" s="95"/>
      <c r="G23" s="95"/>
      <c r="H23" s="95"/>
      <c r="I23" s="95"/>
      <c r="J23" s="96"/>
      <c r="K23" s="97">
        <v>400</v>
      </c>
      <c r="L23" s="98"/>
    </row>
    <row r="24" spans="1:14">
      <c r="B24" s="51" t="s">
        <v>34</v>
      </c>
      <c r="C24" s="51"/>
      <c r="D24" s="51"/>
      <c r="E24" s="51"/>
      <c r="F24" s="51"/>
      <c r="G24" s="51"/>
      <c r="H24" s="51"/>
      <c r="I24" s="51"/>
      <c r="J24" s="29"/>
      <c r="K24" s="30" t="str">
        <f>SUM(K20:K23)</f>
        <v>0</v>
      </c>
      <c r="L24" s="29" t="s">
        <v>24</v>
      </c>
    </row>
    <row r="25" spans="1:14">
      <c r="B25" s="49"/>
      <c r="C25" s="49"/>
      <c r="D25" s="49"/>
      <c r="E25" s="49"/>
      <c r="F25" s="49"/>
      <c r="G25" s="49"/>
      <c r="H25" s="49"/>
      <c r="I25" s="49"/>
      <c r="J25" s="2"/>
      <c r="K25" s="11"/>
      <c r="L25" s="9"/>
    </row>
    <row r="26" spans="1:14">
      <c r="B26" s="48" t="s">
        <v>35</v>
      </c>
      <c r="C26" s="48"/>
      <c r="D26" s="48"/>
      <c r="E26" s="48"/>
      <c r="F26" s="48"/>
      <c r="G26" s="48"/>
      <c r="H26" s="48"/>
      <c r="I26" s="48"/>
      <c r="J26" s="21" t="s">
        <v>36</v>
      </c>
      <c r="K26" s="15" t="str">
        <f>'2'!AB31</f>
        <v>0</v>
      </c>
      <c r="L26" s="12" t="s">
        <v>24</v>
      </c>
    </row>
    <row r="27" spans="1:14">
      <c r="B27" s="51" t="s">
        <v>37</v>
      </c>
      <c r="C27" s="51"/>
      <c r="D27" s="51"/>
      <c r="E27" s="51"/>
      <c r="F27" s="51"/>
      <c r="G27" s="51"/>
      <c r="H27" s="51"/>
      <c r="I27" s="51"/>
      <c r="K27" s="14" t="str">
        <f>K24+K26</f>
        <v>0</v>
      </c>
      <c r="L27" s="9" t="s">
        <v>24</v>
      </c>
    </row>
    <row r="28" spans="1:14">
      <c r="B28" s="43"/>
      <c r="C28" s="43"/>
      <c r="D28" s="43"/>
      <c r="E28" s="43"/>
      <c r="F28" s="43"/>
      <c r="G28" s="43"/>
      <c r="H28" s="43"/>
      <c r="I28" s="43"/>
    </row>
    <row r="29" spans="1:14" customHeight="1" ht="15.6">
      <c r="B29" s="52" t="s">
        <v>38</v>
      </c>
      <c r="C29" s="52"/>
      <c r="D29" s="52"/>
      <c r="E29" s="52"/>
      <c r="F29" s="52"/>
      <c r="G29" s="52"/>
      <c r="H29" s="52"/>
      <c r="I29" s="52"/>
      <c r="J29" s="52"/>
      <c r="K29" s="28" t="s">
        <v>21</v>
      </c>
      <c r="L29" s="28" t="s">
        <v>22</v>
      </c>
    </row>
    <row r="30" spans="1:14">
      <c r="B30" s="49" t="s">
        <v>39</v>
      </c>
      <c r="C30" s="49"/>
      <c r="D30" s="49"/>
      <c r="E30" s="49"/>
      <c r="F30" s="49"/>
      <c r="G30" s="49"/>
      <c r="H30" s="49"/>
      <c r="I30" s="49"/>
      <c r="J30" s="49"/>
      <c r="K30" s="14" t="str">
        <f>K14</f>
        <v>0</v>
      </c>
      <c r="L30" s="9" t="s">
        <v>24</v>
      </c>
    </row>
    <row r="31" spans="1:14">
      <c r="B31" s="49" t="s">
        <v>40</v>
      </c>
      <c r="C31" s="49"/>
      <c r="D31" s="49"/>
      <c r="E31" s="49"/>
      <c r="F31" s="49"/>
      <c r="G31" s="49"/>
      <c r="H31" s="49"/>
      <c r="I31" s="49"/>
      <c r="J31" s="49"/>
      <c r="K31" s="14" t="str">
        <f>IF('2'!AF7&lt;1, '2'!AF7*J11, '2'!AF7*J11)</f>
        <v>0</v>
      </c>
      <c r="L31" s="9" t="s">
        <v>24</v>
      </c>
    </row>
    <row r="32" spans="1:14">
      <c r="B32" s="48" t="s">
        <v>41</v>
      </c>
      <c r="C32" s="48"/>
      <c r="D32" s="48"/>
      <c r="E32" s="48"/>
      <c r="F32" s="48"/>
      <c r="G32" s="48"/>
      <c r="H32" s="48"/>
      <c r="I32" s="48"/>
      <c r="J32" s="48"/>
      <c r="K32" s="15" t="str">
        <f>K27</f>
        <v>0</v>
      </c>
      <c r="L32" s="12" t="s">
        <v>24</v>
      </c>
    </row>
    <row r="33" spans="1:14">
      <c r="B33" s="51" t="s">
        <v>42</v>
      </c>
      <c r="C33" s="51"/>
      <c r="D33" s="51"/>
      <c r="E33" s="51"/>
      <c r="F33" s="51"/>
      <c r="G33" s="51"/>
      <c r="H33" s="51"/>
      <c r="I33" s="51"/>
      <c r="J33" s="51"/>
      <c r="K33" s="14" t="str">
        <f>SUM(K30:K32)</f>
        <v>0</v>
      </c>
      <c r="L33" s="9" t="s">
        <v>24</v>
      </c>
    </row>
    <row r="34" spans="1:14"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</row>
    <row r="35" spans="1:14">
      <c r="B35" s="59" t="s">
        <v>43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4">
      <c r="B36" s="19" t="s">
        <v>44</v>
      </c>
      <c r="C36" s="56" t="s">
        <v>45</v>
      </c>
      <c r="D36" s="57"/>
      <c r="E36" s="58"/>
      <c r="F36" s="4" t="s">
        <v>46</v>
      </c>
      <c r="G36" s="56" t="s">
        <v>47</v>
      </c>
      <c r="H36" s="58"/>
      <c r="I36" s="3" t="s">
        <v>48</v>
      </c>
      <c r="J36" s="26" t="s">
        <v>37</v>
      </c>
      <c r="K36" s="47" t="s">
        <v>49</v>
      </c>
      <c r="L36" s="47"/>
    </row>
    <row r="37" spans="1:14">
      <c r="B37" s="5">
        <v>1</v>
      </c>
      <c r="C37" s="5" t="s">
        <v>50</v>
      </c>
      <c r="D37" s="5"/>
      <c r="E37" s="5"/>
      <c r="F37" s="5" t="str">
        <f>'2'!C10</f>
        <v>0</v>
      </c>
      <c r="G37" s="88" t="str">
        <f>'2'!C8</f>
        <v>0</v>
      </c>
      <c r="H37" s="6"/>
      <c r="I37" s="88" t="str">
        <f>'2'!C46</f>
        <v>0</v>
      </c>
      <c r="J37" s="88" t="str">
        <f>'2'!C44</f>
        <v>0</v>
      </c>
      <c r="K37" s="89" t="str">
        <f>'2'!C47</f>
        <v>0</v>
      </c>
      <c r="L37" s="47"/>
      <c r="M37" s="1"/>
    </row>
    <row r="38" spans="1:14">
      <c r="B38" s="5">
        <v>2</v>
      </c>
      <c r="C38" s="5" t="s">
        <v>51</v>
      </c>
      <c r="D38" s="5"/>
      <c r="E38" s="5"/>
      <c r="F38" s="5" t="str">
        <f>'2'!D10</f>
        <v>0</v>
      </c>
      <c r="G38" s="88" t="str">
        <f>'2'!D8</f>
        <v>0</v>
      </c>
      <c r="H38" s="6"/>
      <c r="I38" s="88" t="str">
        <f>'2'!D46</f>
        <v>0</v>
      </c>
      <c r="J38" s="88" t="str">
        <f>'2'!D44</f>
        <v>0</v>
      </c>
      <c r="K38" s="89" t="str">
        <f>'2'!D47</f>
        <v>0</v>
      </c>
      <c r="L38" s="47"/>
      <c r="M38" s="1"/>
    </row>
    <row r="39" spans="1:14">
      <c r="B39" s="5">
        <v>3</v>
      </c>
      <c r="C39" s="5" t="s">
        <v>52</v>
      </c>
      <c r="D39" s="5"/>
      <c r="E39" s="5"/>
      <c r="F39" s="5" t="str">
        <f>'2'!E10</f>
        <v>0</v>
      </c>
      <c r="G39" s="88" t="str">
        <f>'2'!E8</f>
        <v>0</v>
      </c>
      <c r="H39" s="6"/>
      <c r="I39" s="88" t="str">
        <f>'2'!E46</f>
        <v>0</v>
      </c>
      <c r="J39" s="88" t="str">
        <f>'2'!E44</f>
        <v>0</v>
      </c>
      <c r="K39" s="89" t="str">
        <f>'2'!E47</f>
        <v>0</v>
      </c>
      <c r="L39" s="47"/>
      <c r="M39" s="1"/>
    </row>
    <row r="40" spans="1:14" customHeight="1" ht="15.6">
      <c r="B40" s="5">
        <v>4</v>
      </c>
      <c r="C40" s="5" t="s">
        <v>53</v>
      </c>
      <c r="D40" s="5"/>
      <c r="E40" s="5"/>
      <c r="F40" s="5" t="str">
        <f>'2'!F10</f>
        <v>0</v>
      </c>
      <c r="G40" s="88" t="str">
        <f>'2'!F8</f>
        <v>0</v>
      </c>
      <c r="H40" s="5"/>
      <c r="I40" s="88" t="str">
        <f>'2'!F46</f>
        <v>0</v>
      </c>
      <c r="J40" s="88" t="str">
        <f>'2'!F44</f>
        <v>0</v>
      </c>
      <c r="K40" s="89" t="str">
        <f>'2'!F47</f>
        <v>0</v>
      </c>
      <c r="L40" s="90"/>
      <c r="M40" s="1"/>
    </row>
    <row r="41" spans="1:14" customHeight="1" ht="15.6">
      <c r="B41" s="5">
        <v>5</v>
      </c>
      <c r="C41" s="5" t="s">
        <v>54</v>
      </c>
      <c r="D41" s="5"/>
      <c r="E41" s="5"/>
      <c r="F41" s="5" t="str">
        <f>'2'!G10</f>
        <v>0</v>
      </c>
      <c r="G41" s="88" t="str">
        <f>'2'!G8</f>
        <v>0</v>
      </c>
      <c r="H41" s="5"/>
      <c r="I41" s="88" t="str">
        <f>'2'!G46</f>
        <v>0</v>
      </c>
      <c r="J41" s="88" t="str">
        <f>'2'!G44</f>
        <v>0</v>
      </c>
      <c r="K41" s="89" t="str">
        <f>'2'!G47</f>
        <v>0</v>
      </c>
      <c r="L41" s="90"/>
    </row>
    <row r="42" spans="1:14">
      <c r="B42" s="5">
        <v>6</v>
      </c>
      <c r="C42" s="5" t="s">
        <v>55</v>
      </c>
      <c r="D42" s="5"/>
      <c r="E42" s="5"/>
      <c r="F42" s="5" t="str">
        <f>'2'!H10</f>
        <v>0</v>
      </c>
      <c r="G42" s="88" t="str">
        <f>'2'!H8</f>
        <v>0</v>
      </c>
      <c r="H42" s="5"/>
      <c r="I42" s="88" t="str">
        <f>'2'!H46</f>
        <v>0</v>
      </c>
      <c r="J42" s="88" t="str">
        <f>'2'!H44</f>
        <v>0</v>
      </c>
      <c r="K42" s="89" t="str">
        <f>'2'!H47</f>
        <v>0</v>
      </c>
      <c r="L42" s="31"/>
    </row>
    <row r="43" spans="1:14" customHeight="1" ht="18">
      <c r="B43" s="91">
        <v>7</v>
      </c>
      <c r="C43" s="5" t="s">
        <v>56</v>
      </c>
      <c r="D43" s="5"/>
      <c r="E43" s="5"/>
      <c r="F43" s="5" t="str">
        <f>'2'!I10</f>
        <v>0</v>
      </c>
      <c r="G43" s="88" t="str">
        <f>'2'!I8</f>
        <v>0</v>
      </c>
      <c r="H43" s="5"/>
      <c r="I43" s="88" t="str">
        <f>'2'!I46</f>
        <v>0</v>
      </c>
      <c r="J43" s="88" t="str">
        <f>'2'!I44</f>
        <v>0</v>
      </c>
      <c r="K43" s="89" t="str">
        <f>'2'!I47</f>
        <v>0</v>
      </c>
      <c r="L43" s="3"/>
    </row>
    <row r="44" spans="1:14" customHeight="1" ht="18">
      <c r="B44" s="91">
        <v>8</v>
      </c>
      <c r="C44" s="5" t="s">
        <v>57</v>
      </c>
      <c r="D44" s="5"/>
      <c r="E44" s="5"/>
      <c r="F44" s="5" t="str">
        <f>'2'!J10</f>
        <v>0</v>
      </c>
      <c r="G44" s="88" t="str">
        <f>'2'!J8</f>
        <v>0</v>
      </c>
      <c r="H44" s="5"/>
      <c r="I44" s="88" t="str">
        <f>'2'!J46</f>
        <v>0</v>
      </c>
      <c r="J44" s="88" t="str">
        <f>'2'!J44</f>
        <v>0</v>
      </c>
      <c r="K44" s="89" t="str">
        <f>'2'!J47</f>
        <v>0</v>
      </c>
      <c r="L44" s="3"/>
    </row>
    <row r="45" spans="1:14" customHeight="1" ht="18">
      <c r="B45" s="91">
        <v>9</v>
      </c>
      <c r="C45" s="5" t="s">
        <v>58</v>
      </c>
      <c r="D45" s="5"/>
      <c r="E45" s="5"/>
      <c r="F45" s="5" t="str">
        <f>'2'!K10</f>
        <v>0</v>
      </c>
      <c r="G45" s="88" t="str">
        <f>'2'!K8</f>
        <v>0</v>
      </c>
      <c r="H45" s="5"/>
      <c r="I45" s="88" t="str">
        <f>'2'!K46</f>
        <v>0</v>
      </c>
      <c r="J45" s="88" t="str">
        <f>'2'!K44</f>
        <v>0</v>
      </c>
      <c r="K45" s="89" t="str">
        <f>'2'!K47</f>
        <v>0</v>
      </c>
      <c r="L45" s="3"/>
    </row>
    <row r="46" spans="1:14" customHeight="1" ht="18">
      <c r="B46" s="91">
        <v>10</v>
      </c>
      <c r="C46" s="5" t="s">
        <v>59</v>
      </c>
      <c r="D46" s="5"/>
      <c r="E46" s="5"/>
      <c r="F46" s="5" t="str">
        <f>'2'!L10</f>
        <v>0</v>
      </c>
      <c r="G46" s="88" t="str">
        <f>'2'!L8</f>
        <v>0</v>
      </c>
      <c r="H46" s="5"/>
      <c r="I46" s="88" t="str">
        <f>'2'!L46</f>
        <v>0</v>
      </c>
      <c r="J46" s="88" t="str">
        <f>'2'!L44</f>
        <v>0</v>
      </c>
      <c r="K46" s="89" t="str">
        <f>'2'!L47</f>
        <v>0</v>
      </c>
      <c r="L46" s="3"/>
    </row>
    <row r="47" spans="1:14" customHeight="1" ht="18">
      <c r="B47" s="91">
        <v>11</v>
      </c>
      <c r="C47" s="5" t="s">
        <v>60</v>
      </c>
      <c r="D47" s="5"/>
      <c r="E47" s="5"/>
      <c r="F47" s="5" t="str">
        <f>'2'!M10</f>
        <v>0</v>
      </c>
      <c r="G47" s="88" t="str">
        <f>'2'!M8</f>
        <v>0</v>
      </c>
      <c r="H47" s="5"/>
      <c r="I47" s="88" t="str">
        <f>'2'!M46</f>
        <v>0</v>
      </c>
      <c r="J47" s="88" t="str">
        <f>'2'!M44</f>
        <v>0</v>
      </c>
      <c r="K47" s="89" t="str">
        <f>'2'!M47</f>
        <v>0</v>
      </c>
      <c r="L47" s="3"/>
    </row>
    <row r="48" spans="1:14" customHeight="1" ht="18">
      <c r="B48" s="91">
        <v>12</v>
      </c>
      <c r="C48" s="5" t="s">
        <v>61</v>
      </c>
      <c r="D48" s="5"/>
      <c r="E48" s="5"/>
      <c r="F48" s="5" t="str">
        <f>'2'!N10</f>
        <v>0</v>
      </c>
      <c r="G48" s="88" t="str">
        <f>'2'!N8</f>
        <v>0</v>
      </c>
      <c r="H48" s="5"/>
      <c r="I48" s="88" t="str">
        <f>'2'!N46</f>
        <v>0</v>
      </c>
      <c r="J48" s="88" t="str">
        <f>'2'!N44</f>
        <v>0</v>
      </c>
      <c r="K48" s="89" t="str">
        <f>'2'!N47</f>
        <v>0</v>
      </c>
      <c r="L48" s="3"/>
    </row>
    <row r="49" spans="1:14" customHeight="1" ht="18">
      <c r="B49" s="91">
        <v>13</v>
      </c>
      <c r="C49" s="5" t="s">
        <v>62</v>
      </c>
      <c r="D49" s="5"/>
      <c r="E49" s="5"/>
      <c r="F49" s="5" t="str">
        <f>'2'!O10</f>
        <v>0</v>
      </c>
      <c r="G49" s="88" t="str">
        <f>'2'!O8</f>
        <v>0</v>
      </c>
      <c r="H49" s="5"/>
      <c r="I49" s="88" t="str">
        <f>'2'!O46</f>
        <v>0</v>
      </c>
      <c r="J49" s="88" t="str">
        <f>'2'!O44</f>
        <v>0</v>
      </c>
      <c r="K49" s="89" t="str">
        <f>'2'!O47</f>
        <v>0</v>
      </c>
      <c r="L49" s="3"/>
    </row>
    <row r="50" spans="1:14" customHeight="1" ht="18">
      <c r="B50" s="91">
        <v>14</v>
      </c>
      <c r="C50" s="5" t="s">
        <v>63</v>
      </c>
      <c r="D50" s="5"/>
      <c r="E50" s="5"/>
      <c r="F50" s="5" t="str">
        <f>'2'!P10</f>
        <v>0</v>
      </c>
      <c r="G50" s="88" t="str">
        <f>'2'!P8</f>
        <v>0</v>
      </c>
      <c r="H50" s="5"/>
      <c r="I50" s="88" t="str">
        <f>'2'!P46</f>
        <v>0</v>
      </c>
      <c r="J50" s="88" t="str">
        <f>'2'!P44</f>
        <v>0</v>
      </c>
      <c r="K50" s="89" t="str">
        <f>'2'!P47</f>
        <v>0</v>
      </c>
      <c r="L50" s="3"/>
    </row>
    <row r="51" spans="1:14" customHeight="1" ht="18">
      <c r="B51" s="91">
        <v>15</v>
      </c>
      <c r="C51" s="5" t="s">
        <v>64</v>
      </c>
      <c r="D51" s="5"/>
      <c r="E51" s="5"/>
      <c r="F51" s="5" t="str">
        <f>'2'!Q10</f>
        <v>0</v>
      </c>
      <c r="G51" s="88" t="str">
        <f>'2'!Q8</f>
        <v>0</v>
      </c>
      <c r="H51" s="5"/>
      <c r="I51" s="88" t="str">
        <f>'2'!Q46</f>
        <v>0</v>
      </c>
      <c r="J51" s="88" t="str">
        <f>'2'!Q44</f>
        <v>0</v>
      </c>
      <c r="K51" s="89" t="str">
        <f>'2'!Q47</f>
        <v>0</v>
      </c>
      <c r="L51" s="3"/>
    </row>
    <row r="52" spans="1:14" customHeight="1" ht="18">
      <c r="B52" s="91">
        <v>16</v>
      </c>
      <c r="C52" s="5" t="s">
        <v>65</v>
      </c>
      <c r="D52" s="5"/>
      <c r="E52" s="5"/>
      <c r="F52" s="5" t="str">
        <f>'2'!R10</f>
        <v>0</v>
      </c>
      <c r="G52" s="88" t="str">
        <f>'2'!R8</f>
        <v>0</v>
      </c>
      <c r="H52" s="5"/>
      <c r="I52" s="88" t="str">
        <f>'2'!R46</f>
        <v>0</v>
      </c>
      <c r="J52" s="88" t="str">
        <f>'2'!R44</f>
        <v>0</v>
      </c>
      <c r="K52" s="89" t="str">
        <f>'2'!R47</f>
        <v>0</v>
      </c>
      <c r="L52" s="3"/>
    </row>
    <row r="53" spans="1:14" customHeight="1" ht="18">
      <c r="B53" s="91">
        <v>17</v>
      </c>
      <c r="C53" s="5" t="s">
        <v>66</v>
      </c>
      <c r="D53" s="5"/>
      <c r="E53" s="5"/>
      <c r="F53" s="5" t="str">
        <f>'2'!S10</f>
        <v>0</v>
      </c>
      <c r="G53" s="88" t="str">
        <f>'2'!S8</f>
        <v>0</v>
      </c>
      <c r="H53" s="5"/>
      <c r="I53" s="88" t="str">
        <f>'2'!S46</f>
        <v>0</v>
      </c>
      <c r="J53" s="88" t="str">
        <f>'2'!S44</f>
        <v>0</v>
      </c>
      <c r="K53" s="89" t="str">
        <f>'2'!S47</f>
        <v>0</v>
      </c>
      <c r="L53" s="3"/>
    </row>
    <row r="54" spans="1:14" customHeight="1" ht="18">
      <c r="B54" s="91">
        <v>18</v>
      </c>
      <c r="C54" s="5" t="s">
        <v>67</v>
      </c>
      <c r="D54" s="5"/>
      <c r="E54" s="5"/>
      <c r="F54" s="5" t="str">
        <f>'2'!T10</f>
        <v>0</v>
      </c>
      <c r="G54" s="88" t="str">
        <f>'2'!T8</f>
        <v>0</v>
      </c>
      <c r="H54" s="5"/>
      <c r="I54" s="88" t="str">
        <f>'2'!T46</f>
        <v>0</v>
      </c>
      <c r="J54" s="88" t="str">
        <f>'2'!T44</f>
        <v>0</v>
      </c>
      <c r="K54" s="89" t="str">
        <f>'2'!T47</f>
        <v>0</v>
      </c>
      <c r="L54" s="3"/>
    </row>
    <row r="55" spans="1:14" customHeight="1" ht="18">
      <c r="B55" s="91">
        <v>19</v>
      </c>
      <c r="C55" s="5" t="s">
        <v>68</v>
      </c>
      <c r="D55" s="5"/>
      <c r="E55" s="5"/>
      <c r="F55" s="5" t="str">
        <f>'2'!U10</f>
        <v>0</v>
      </c>
      <c r="G55" s="88" t="str">
        <f>'2'!U8</f>
        <v>0</v>
      </c>
      <c r="H55" s="5"/>
      <c r="I55" s="88" t="str">
        <f>'2'!U46</f>
        <v>0</v>
      </c>
      <c r="J55" s="88" t="str">
        <f>'2'!U44</f>
        <v>0</v>
      </c>
      <c r="K55" s="89" t="str">
        <f>'2'!U47</f>
        <v>0</v>
      </c>
      <c r="L55" s="3"/>
    </row>
    <row r="56" spans="1:14" customHeight="1" ht="18">
      <c r="B56" s="91">
        <v>20</v>
      </c>
      <c r="C56" s="5" t="s">
        <v>69</v>
      </c>
      <c r="D56" s="5"/>
      <c r="E56" s="5"/>
      <c r="F56" s="5" t="str">
        <f>'2'!V10</f>
        <v>0</v>
      </c>
      <c r="G56" s="88" t="str">
        <f>'2'!V8</f>
        <v>0</v>
      </c>
      <c r="H56" s="5"/>
      <c r="I56" s="88" t="str">
        <f>'2'!V46</f>
        <v>0</v>
      </c>
      <c r="J56" s="88" t="str">
        <f>'2'!V44</f>
        <v>0</v>
      </c>
      <c r="K56" s="89" t="str">
        <f>'2'!V47</f>
        <v>0</v>
      </c>
      <c r="L56" s="3"/>
    </row>
    <row r="57" spans="1:14" customHeight="1" ht="18">
      <c r="B57" s="91">
        <v>21</v>
      </c>
      <c r="C57" s="5" t="s">
        <v>70</v>
      </c>
      <c r="D57" s="5"/>
      <c r="E57" s="5"/>
      <c r="F57" s="5" t="str">
        <f>'2'!W10</f>
        <v>0</v>
      </c>
      <c r="G57" s="88" t="str">
        <f>'2'!W8</f>
        <v>0</v>
      </c>
      <c r="H57" s="5"/>
      <c r="I57" s="88" t="str">
        <f>'2'!W46</f>
        <v>0</v>
      </c>
      <c r="J57" s="88" t="str">
        <f>'2'!W44</f>
        <v>0</v>
      </c>
      <c r="K57" s="89" t="str">
        <f>'2'!W47</f>
        <v>0</v>
      </c>
      <c r="L57" s="3"/>
    </row>
    <row r="58" spans="1:14" customHeight="1" ht="18">
      <c r="B58" s="91">
        <v>22</v>
      </c>
      <c r="C58" s="5" t="s">
        <v>71</v>
      </c>
      <c r="D58" s="5"/>
      <c r="E58" s="5"/>
      <c r="F58" s="5" t="str">
        <f>'2'!X10</f>
        <v>0</v>
      </c>
      <c r="G58" s="88" t="str">
        <f>'2'!X8</f>
        <v>0</v>
      </c>
      <c r="H58" s="5"/>
      <c r="I58" s="88" t="str">
        <f>'2'!X46</f>
        <v>0</v>
      </c>
      <c r="J58" s="88" t="str">
        <f>'2'!X44</f>
        <v>0</v>
      </c>
      <c r="K58" s="89" t="str">
        <f>'2'!X47</f>
        <v>0</v>
      </c>
      <c r="L58" s="3"/>
    </row>
    <row r="59" spans="1:14" customHeight="1" ht="18">
      <c r="B59" s="91">
        <v>23</v>
      </c>
      <c r="C59" s="5" t="s">
        <v>72</v>
      </c>
      <c r="D59" s="5"/>
      <c r="E59" s="5"/>
      <c r="F59" s="5" t="str">
        <f>'2'!Y10</f>
        <v>0</v>
      </c>
      <c r="G59" s="88" t="str">
        <f>'2'!Y8</f>
        <v>0</v>
      </c>
      <c r="H59" s="5"/>
      <c r="I59" s="88" t="str">
        <f>'2'!Y46</f>
        <v>0</v>
      </c>
      <c r="J59" s="88" t="str">
        <f>'2'!Y44</f>
        <v>0</v>
      </c>
      <c r="K59" s="89" t="str">
        <f>'2'!Y47</f>
        <v>0</v>
      </c>
      <c r="L59" s="3"/>
    </row>
    <row r="60" spans="1:14" customHeight="1" ht="18">
      <c r="B60" s="91">
        <v>24</v>
      </c>
      <c r="C60" s="5" t="s">
        <v>73</v>
      </c>
      <c r="D60" s="5"/>
      <c r="E60" s="5"/>
      <c r="F60" s="5" t="str">
        <f>'2'!Z10</f>
        <v>0</v>
      </c>
      <c r="G60" s="88" t="str">
        <f>'2'!Z8</f>
        <v>0</v>
      </c>
      <c r="H60" s="5"/>
      <c r="I60" s="88" t="str">
        <f>'2'!Z46</f>
        <v>0</v>
      </c>
      <c r="J60" s="88" t="str">
        <f>'2'!Z44</f>
        <v>0</v>
      </c>
      <c r="K60" s="89" t="str">
        <f>'2'!Z47</f>
        <v>0</v>
      </c>
      <c r="L60" s="3"/>
    </row>
    <row r="61" spans="1:14" customHeight="1" ht="18">
      <c r="B61" s="91">
        <v>25</v>
      </c>
      <c r="C61" s="5" t="s">
        <v>74</v>
      </c>
      <c r="D61" s="5"/>
      <c r="E61" s="5"/>
      <c r="F61" s="5" t="str">
        <f>'2'!AA10</f>
        <v>0</v>
      </c>
      <c r="G61" s="88" t="str">
        <f>'2'!AA8</f>
        <v>0</v>
      </c>
      <c r="H61" s="5"/>
      <c r="I61" s="88" t="str">
        <f>'2'!AA46</f>
        <v>0</v>
      </c>
      <c r="J61" s="88" t="str">
        <f>'2'!AA44</f>
        <v>0</v>
      </c>
      <c r="K61" s="89" t="str">
        <f>'2'!AA47</f>
        <v>0</v>
      </c>
      <c r="L61" s="3"/>
    </row>
    <row r="62" spans="1:14" customHeight="1" ht="18">
      <c r="B62" s="93" t="s">
        <v>37</v>
      </c>
      <c r="C62" s="92"/>
      <c r="D62" s="92"/>
      <c r="E62" s="92"/>
      <c r="F62" s="93" t="str">
        <f>SUM(F37:F61)</f>
        <v>0</v>
      </c>
      <c r="G62" s="64"/>
      <c r="H62" s="64"/>
      <c r="I62" s="64"/>
      <c r="J62" s="94" t="str">
        <f>SUM(J37:J61)</f>
        <v>0</v>
      </c>
      <c r="K62" s="64"/>
      <c r="L62" s="64"/>
    </row>
    <row r="63" spans="1:14" customHeight="1" ht="18">
      <c r="B63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No se emite comprobante por concepto de "PERCEPCIÓN, ANTI DUMPING, GESTIÓN DE COMPRA"</t>
          </r>
        </is>
      </c>
      <c r="C63" s="64"/>
      <c r="D63" s="64"/>
      <c r="E63" s="64"/>
      <c r="F63" s="64"/>
      <c r="G63" s="64"/>
      <c r="H63" s="64"/>
      <c r="I63" s="64"/>
      <c r="J63" s="64"/>
      <c r="K63" s="64"/>
      <c r="L63" s="64"/>
    </row>
    <row r="64" spans="1:14" customHeight="1" ht="18">
      <c r="B64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A nosotros se nos pagan los </t>
          </r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Gastos Logísticos + Impuestos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 una semana antes de que el contenedor</t>
          </r>
        </is>
      </c>
      <c r="C64" s="64"/>
      <c r="D64" s="64"/>
      <c r="E64" s="64"/>
      <c r="F64" s="64"/>
      <c r="G64" s="64"/>
      <c r="H64" s="64"/>
      <c r="I64" s="64"/>
      <c r="J64" s="64"/>
      <c r="K64" s="64"/>
      <c r="L64" s="64"/>
    </row>
    <row r="65" spans="1:14" customHeight="1" ht="18">
      <c r="B65" s="64" t="s">
        <v>77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</row>
    <row r="66" spans="1:14" customHeight="1" ht="18">
      <c r="B66" s="64" t="inlineStr">
        <is>
          <r>
            <rPr>
              <rFont val="Calibri Light"/>
              <b val="true"/>
              <i val="false"/>
              <strike val="false"/>
              <color rgb="FF000000"/>
              <sz val="14"/>
              <u val="none"/>
            </rPr>
            <t xml:space="preserve">*</t>
          </r>
          <r>
            <rPr>
              <rFont val="Calibri Light"/>
              <b val="false"/>
              <i val="false"/>
              <strike val="false"/>
              <color rgb="FF000000"/>
              <sz val="14"/>
              <u val="none"/>
            </rPr>
            <t xml:space="preserve">El tipo de cambio referencial usado para la conversión a soles es del 3.70</t>
          </r>
        </is>
      </c>
      <c r="C66" s="64"/>
      <c r="D66" s="64"/>
      <c r="E66" s="64"/>
      <c r="F66" s="64"/>
      <c r="G66" s="64"/>
      <c r="H66" s="64"/>
      <c r="I66" s="64"/>
      <c r="J66" s="64"/>
      <c r="K66" s="64"/>
      <c r="L66" s="64"/>
    </row>
    <row r="67" spans="1:14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4" customHeight="1" ht="9">
      <c r="B68" s="38"/>
      <c r="C68" s="38"/>
      <c r="E68" s="38"/>
      <c r="F68" s="38"/>
      <c r="G68" s="38"/>
      <c r="H68" s="38"/>
      <c r="I68" s="38"/>
      <c r="J68" s="38"/>
      <c r="K68" s="38"/>
      <c r="L68" s="38"/>
      <c r="M68" s="38"/>
    </row>
    <row r="69" spans="1:14" customHeight="1" ht="31.8">
      <c r="B69" s="38"/>
      <c r="C69" s="38"/>
      <c r="D69" s="37" t="s">
        <v>0</v>
      </c>
      <c r="E69" s="37"/>
      <c r="F69" s="37"/>
      <c r="G69" s="37"/>
      <c r="H69" s="37"/>
      <c r="I69" s="37"/>
      <c r="J69" s="37"/>
      <c r="K69" s="37"/>
      <c r="L69" s="37"/>
      <c r="M69" s="37"/>
    </row>
    <row r="70" spans="1:14" customHeight="1" ht="21">
      <c r="B70" s="38"/>
      <c r="C70" s="38"/>
      <c r="D70" s="53" t="s">
        <v>79</v>
      </c>
      <c r="E70" s="53"/>
      <c r="F70" s="53"/>
      <c r="G70" s="53"/>
      <c r="H70" s="53"/>
      <c r="I70" s="53"/>
    </row>
    <row r="71" spans="1:14">
      <c r="B71" s="38"/>
      <c r="C71" s="38"/>
    </row>
    <row r="72" spans="1:14">
      <c r="B72" s="38"/>
      <c r="C72" s="38"/>
    </row>
    <row r="73" spans="1:14" customHeight="1" ht="21">
      <c r="B73" s="70" t="s">
        <v>80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</row>
    <row r="75" spans="1:14">
      <c r="B75" s="71" t="s">
        <v>81</v>
      </c>
      <c r="C75" s="71"/>
      <c r="D75" s="71"/>
      <c r="E75" s="71"/>
      <c r="F75" s="71"/>
      <c r="G75" s="71"/>
      <c r="H75" s="71"/>
      <c r="I75" s="71"/>
      <c r="J75" s="71"/>
      <c r="K75" s="71"/>
      <c r="L75" s="71"/>
    </row>
    <row r="76" spans="1:14">
      <c r="B76" s="71" t="s">
        <v>82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</row>
    <row r="77" spans="1:14">
      <c r="B77" s="49" t="s">
        <v>83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spans="1:14">
      <c r="B78" s="71" t="s">
        <v>84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</row>
    <row r="79" spans="1:14">
      <c r="B79" s="71" t="s">
        <v>85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</row>
    <row r="80" spans="1:14">
      <c r="B80" s="49" t="s">
        <v>86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4"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B82" s="71" t="s">
        <v>88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4"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4" spans="1:14">
      <c r="B84" s="71" t="s">
        <v>90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</row>
    <row r="85" spans="1:14">
      <c r="B85" s="71" t="s">
        <v>91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</row>
    <row r="86" spans="1:14">
      <c r="B86" s="71" t="s">
        <v>92</v>
      </c>
      <c r="C86" s="71"/>
      <c r="D86" s="71"/>
      <c r="E86" s="71"/>
      <c r="F86" s="71"/>
      <c r="G86" s="71"/>
      <c r="H86" s="71"/>
      <c r="I86" s="71"/>
      <c r="J86" s="71"/>
      <c r="K86" s="71"/>
      <c r="L86" s="71"/>
    </row>
    <row r="87" spans="1:14">
      <c r="B87" s="71" t="s">
        <v>93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</row>
    <row r="88" spans="1:14">
      <c r="B88" s="71" t="s">
        <v>94</v>
      </c>
      <c r="C88" s="71"/>
      <c r="D88" s="71"/>
      <c r="E88" s="71"/>
      <c r="F88" s="71"/>
      <c r="G88" s="71"/>
      <c r="H88" s="71"/>
      <c r="I88" s="71"/>
      <c r="J88" s="71"/>
      <c r="K88" s="71"/>
      <c r="L88" s="71"/>
    </row>
    <row r="89" spans="1:14">
      <c r="B89" s="71" t="s">
        <v>95</v>
      </c>
      <c r="C89" s="71"/>
      <c r="D89" s="71"/>
      <c r="E89" s="71"/>
      <c r="F89" s="71"/>
      <c r="G89" s="71"/>
      <c r="H89" s="71"/>
      <c r="I89" s="71"/>
      <c r="J89" s="71"/>
      <c r="K89" s="71"/>
      <c r="L89" s="71"/>
    </row>
    <row r="90" spans="1:14">
      <c r="B90" s="71" t="s">
        <v>96</v>
      </c>
      <c r="C90" s="71"/>
      <c r="D90" s="71"/>
      <c r="E90" s="71"/>
      <c r="F90" s="71"/>
      <c r="G90" s="71"/>
      <c r="H90" s="71"/>
      <c r="I90" s="71"/>
      <c r="J90" s="71"/>
      <c r="K90" s="71"/>
      <c r="L90" s="71"/>
    </row>
    <row r="91" spans="1:14">
      <c r="B91" s="71" t="inlineStr">
        <is>
          <r>
            <t xml:space="preserve">13.</t>
          </r>
          <r>
            <rPr>
              <rFont val="Calibri Light"/>
              <b val="false"/>
              <i val="false"/>
              <strike val="false"/>
              <color rgb="FF000000"/>
              <sz val="7"/>
              <u val="none"/>
            </rPr>
            <t xml:space="preserve"> </t>
          </r>
          <r>
            <rPr>
              <rFont val="Calibri Light"/>
              <b val="false"/>
              <i val="false"/>
              <strike val="false"/>
              <color rgb="FF000000"/>
              <sz val="11"/>
              <u val="none"/>
            </rPr>
            <t xml:space="preserve">Los documentos de importación deber ser entregados a tiempo, de lo contrario, el participante no tendrá opción</t>
          </r>
        </is>
      </c>
      <c r="C91" s="71"/>
      <c r="D91" s="71"/>
      <c r="E91" s="71"/>
      <c r="F91" s="71"/>
      <c r="G91" s="71"/>
      <c r="H91" s="71"/>
      <c r="I91" s="71"/>
      <c r="J91" s="71"/>
      <c r="K91" s="71"/>
      <c r="L91" s="71"/>
    </row>
    <row r="92" spans="1:14">
      <c r="B92" s="67" t="s">
        <v>98</v>
      </c>
      <c r="C92" s="67"/>
      <c r="D92" s="67"/>
      <c r="E92" s="67"/>
      <c r="F92" s="67"/>
      <c r="G92" s="67"/>
      <c r="H92" s="67"/>
      <c r="I92" s="67"/>
      <c r="J92" s="67"/>
      <c r="K92" s="67"/>
      <c r="L92" s="67"/>
    </row>
    <row r="93" spans="1:14">
      <c r="B93" s="71" t="s">
        <v>99</v>
      </c>
      <c r="C93" s="71"/>
      <c r="D93" s="71"/>
      <c r="E93" s="71"/>
      <c r="F93" s="71"/>
      <c r="G93" s="71"/>
      <c r="H93" s="71"/>
      <c r="I93" s="71"/>
      <c r="J93" s="71"/>
      <c r="K93" s="71"/>
      <c r="L93" s="71"/>
    </row>
    <row r="94" spans="1:14">
      <c r="B94" s="67" t="s">
        <v>100</v>
      </c>
      <c r="C94" s="67"/>
      <c r="D94" s="67"/>
      <c r="E94" s="67"/>
      <c r="F94" s="67"/>
      <c r="G94" s="67"/>
      <c r="H94" s="67"/>
      <c r="I94" s="67"/>
      <c r="J94" s="67"/>
      <c r="K94" s="67"/>
      <c r="L94" s="67"/>
    </row>
    <row r="95" spans="1:14">
      <c r="B95" s="71" t="s">
        <v>101</v>
      </c>
      <c r="C95" s="71"/>
      <c r="D95" s="71"/>
      <c r="E95" s="71"/>
      <c r="F95" s="71"/>
      <c r="G95" s="71"/>
      <c r="H95" s="71"/>
      <c r="I95" s="71"/>
      <c r="J95" s="71"/>
      <c r="K95" s="71"/>
      <c r="L95" s="71"/>
    </row>
    <row r="96" spans="1:14">
      <c r="B96" s="71" t="s">
        <v>102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</row>
    <row r="97" spans="1:14">
      <c r="B97" s="71" t="s">
        <v>103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</row>
    <row r="98" spans="1:14">
      <c r="B98" s="71" t="s">
        <v>104</v>
      </c>
      <c r="C98" s="71"/>
      <c r="D98" s="71"/>
      <c r="E98" s="71"/>
      <c r="F98" s="71"/>
      <c r="G98" s="71"/>
      <c r="H98" s="71"/>
      <c r="I98" s="71"/>
      <c r="J98" s="71"/>
      <c r="K98" s="71"/>
      <c r="L98" s="71"/>
    </row>
    <row r="99" spans="1:14">
      <c r="B99" s="71" t="s">
        <v>105</v>
      </c>
      <c r="C99" s="71"/>
      <c r="D99" s="71"/>
      <c r="E99" s="71"/>
      <c r="F99" s="71"/>
      <c r="G99" s="71"/>
      <c r="H99" s="71"/>
      <c r="I99" s="71"/>
      <c r="J99" s="71"/>
      <c r="K99" s="71"/>
      <c r="L99" s="71"/>
    </row>
    <row r="100" spans="1:14">
      <c r="A100" s="32"/>
      <c r="B100" s="72" t="s">
        <v>106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</row>
    <row r="101" spans="1:14">
      <c r="A101" s="32"/>
      <c r="B101" s="71" t="s">
        <v>107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</row>
    <row r="102" spans="1:14">
      <c r="A102" s="32"/>
      <c r="B102" s="72" t="s">
        <v>108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</row>
    <row r="104" spans="1:14">
      <c r="C104" s="38"/>
      <c r="D104" s="38"/>
      <c r="E104" s="38"/>
      <c r="F104" s="38"/>
      <c r="G104" s="38"/>
      <c r="H104" s="38"/>
      <c r="I104" s="38"/>
    </row>
    <row r="105" spans="1:14">
      <c r="C105" s="38"/>
      <c r="D105" s="38"/>
      <c r="E105" s="38"/>
      <c r="F105" s="38"/>
      <c r="G105" s="38"/>
      <c r="H105" s="38"/>
      <c r="I105" s="38"/>
    </row>
    <row r="106" spans="1:14">
      <c r="C106" s="38"/>
      <c r="D106" s="38"/>
      <c r="E106" s="38"/>
      <c r="F106" s="38"/>
      <c r="G106" s="38"/>
      <c r="H106" s="38"/>
      <c r="I106" s="38"/>
    </row>
    <row r="107" spans="1:14">
      <c r="C107" s="38"/>
      <c r="D107" s="38"/>
      <c r="E107" s="38"/>
      <c r="F107" s="38"/>
      <c r="G107" s="38"/>
      <c r="H107" s="38"/>
      <c r="I107" s="38"/>
    </row>
    <row r="108" spans="1:14">
      <c r="C108" s="38"/>
      <c r="D108" s="38"/>
      <c r="E108" s="38"/>
      <c r="F108" s="38"/>
      <c r="G108" s="38"/>
      <c r="H108" s="38"/>
      <c r="I108" s="38"/>
    </row>
    <row r="109" spans="1:14">
      <c r="C109" s="38"/>
      <c r="D109" s="38"/>
      <c r="E109" s="38"/>
      <c r="F109" s="38"/>
      <c r="G109" s="38"/>
      <c r="H109" s="38"/>
      <c r="I109" s="38"/>
    </row>
    <row r="110" spans="1:14">
      <c r="C110" s="38"/>
      <c r="D110" s="38"/>
      <c r="E110" s="38"/>
      <c r="F110" s="38"/>
      <c r="G110" s="38"/>
      <c r="H110" s="38"/>
      <c r="I110" s="38"/>
    </row>
    <row r="111" spans="1:14" customHeight="1" ht="15.6">
      <c r="C111" s="38"/>
      <c r="D111" s="38"/>
      <c r="E111" s="38"/>
      <c r="F111" s="38"/>
      <c r="G111" s="38"/>
      <c r="H111" s="38"/>
      <c r="I111" s="38"/>
    </row>
    <row r="112" spans="1:14" customHeight="1" ht="15.6">
      <c r="C112" s="38"/>
      <c r="D112" s="38"/>
      <c r="E112" s="38"/>
      <c r="F112" s="38"/>
      <c r="G112" s="38"/>
      <c r="H112" s="38"/>
      <c r="I112" s="38"/>
    </row>
    <row r="113" spans="1:14">
      <c r="C113" s="38"/>
      <c r="D113" s="38"/>
      <c r="E113" s="38"/>
      <c r="F113" s="38"/>
      <c r="G113" s="38"/>
      <c r="H113" s="38"/>
      <c r="I113" s="38"/>
    </row>
    <row r="119" spans="1:14" customHeight="1" ht="15.6"/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B92:L92"/>
    <mergeCell ref="B93:L93"/>
    <mergeCell ref="A7:C7"/>
    <mergeCell ref="I7:L7"/>
    <mergeCell ref="B77:L77"/>
    <mergeCell ref="B66:L66"/>
    <mergeCell ref="C39:E39"/>
    <mergeCell ref="K39:L39"/>
    <mergeCell ref="B75:L75"/>
    <mergeCell ref="B88:L88"/>
    <mergeCell ref="B76:L76"/>
    <mergeCell ref="G38:H38"/>
    <mergeCell ref="J11:L11"/>
    <mergeCell ref="B102:L102"/>
    <mergeCell ref="B85:L85"/>
    <mergeCell ref="B86:L86"/>
    <mergeCell ref="B87:L87"/>
    <mergeCell ref="B78:L78"/>
    <mergeCell ref="B79:L79"/>
    <mergeCell ref="B80:L80"/>
    <mergeCell ref="B81:L81"/>
    <mergeCell ref="B82:L82"/>
    <mergeCell ref="B83:L83"/>
    <mergeCell ref="B84:L84"/>
    <mergeCell ref="B89:L89"/>
    <mergeCell ref="B90:L90"/>
    <mergeCell ref="B91:L91"/>
    <mergeCell ref="B101:L101"/>
    <mergeCell ref="B100:L100"/>
    <mergeCell ref="B99:L99"/>
    <mergeCell ref="B94:L94"/>
    <mergeCell ref="B95:L95"/>
    <mergeCell ref="B96:L96"/>
    <mergeCell ref="B97:L97"/>
    <mergeCell ref="B98:L98"/>
    <mergeCell ref="B68:C72"/>
    <mergeCell ref="B19:F19"/>
    <mergeCell ref="C36:E36"/>
    <mergeCell ref="B73:L73"/>
    <mergeCell ref="B64:L64"/>
    <mergeCell ref="G39:H39"/>
    <mergeCell ref="K38:L38"/>
    <mergeCell ref="C38:E38"/>
    <mergeCell ref="B28:I28"/>
    <mergeCell ref="B24:I24"/>
    <mergeCell ref="B20:I20"/>
    <mergeCell ref="B21:I21"/>
    <mergeCell ref="B22:I22"/>
    <mergeCell ref="D69:J69"/>
    <mergeCell ref="B32:J32"/>
    <mergeCell ref="B27:I27"/>
    <mergeCell ref="B12:L12"/>
    <mergeCell ref="B13:J13"/>
    <mergeCell ref="B14:J14"/>
    <mergeCell ref="B16:J16"/>
    <mergeCell ref="B15:J15"/>
    <mergeCell ref="C104:I113"/>
    <mergeCell ref="A1:L1"/>
    <mergeCell ref="E2:L2"/>
    <mergeCell ref="D70:I70"/>
    <mergeCell ref="E3:J3"/>
    <mergeCell ref="E4:J4"/>
    <mergeCell ref="K37:L37"/>
    <mergeCell ref="C37:E37"/>
    <mergeCell ref="G37:H37"/>
    <mergeCell ref="G36:H36"/>
    <mergeCell ref="B35:L35"/>
    <mergeCell ref="J8:L8"/>
    <mergeCell ref="J10:L10"/>
    <mergeCell ref="B65:L65"/>
    <mergeCell ref="B63:L63"/>
    <mergeCell ref="F11:G11"/>
    <mergeCell ref="K69:M69"/>
    <mergeCell ref="E68:M68"/>
    <mergeCell ref="J9:L9"/>
    <mergeCell ref="B2:C6"/>
    <mergeCell ref="E7:G7"/>
    <mergeCell ref="F9:G9"/>
    <mergeCell ref="F10:G10"/>
    <mergeCell ref="F8:G8"/>
    <mergeCell ref="K36:L36"/>
    <mergeCell ref="B26:I26"/>
    <mergeCell ref="B25:I25"/>
    <mergeCell ref="B34:L34"/>
    <mergeCell ref="B33:J33"/>
    <mergeCell ref="B29:J29"/>
    <mergeCell ref="B30:J30"/>
    <mergeCell ref="B31:J31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C47:E47"/>
    <mergeCell ref="G47:H47"/>
    <mergeCell ref="K47:L47"/>
    <mergeCell ref="C48:E48"/>
    <mergeCell ref="G48:H48"/>
    <mergeCell ref="K48:L48"/>
    <mergeCell ref="C49:E49"/>
    <mergeCell ref="G49:H49"/>
    <mergeCell ref="K49:L49"/>
    <mergeCell ref="C50:E50"/>
    <mergeCell ref="G50:H50"/>
    <mergeCell ref="K50:L50"/>
    <mergeCell ref="C51:E51"/>
    <mergeCell ref="G51:H51"/>
    <mergeCell ref="K51:L51"/>
    <mergeCell ref="C52:E52"/>
    <mergeCell ref="G52:H52"/>
    <mergeCell ref="K52:L52"/>
    <mergeCell ref="C53:E53"/>
    <mergeCell ref="G53:H53"/>
    <mergeCell ref="K53:L53"/>
    <mergeCell ref="C54:E54"/>
    <mergeCell ref="G54:H54"/>
    <mergeCell ref="K54:L54"/>
    <mergeCell ref="C55:E55"/>
    <mergeCell ref="G55:H55"/>
    <mergeCell ref="K55:L55"/>
    <mergeCell ref="C56:E56"/>
    <mergeCell ref="G56:H56"/>
    <mergeCell ref="K56:L56"/>
    <mergeCell ref="C57:E57"/>
    <mergeCell ref="G57:H57"/>
    <mergeCell ref="K57:L57"/>
    <mergeCell ref="C58:E58"/>
    <mergeCell ref="G58:H58"/>
    <mergeCell ref="K58:L58"/>
    <mergeCell ref="C59:E59"/>
    <mergeCell ref="G59:H59"/>
    <mergeCell ref="K59:L59"/>
    <mergeCell ref="C60:E60"/>
    <mergeCell ref="G60:H60"/>
    <mergeCell ref="K60:L60"/>
    <mergeCell ref="C61:E61"/>
    <mergeCell ref="G61:H61"/>
    <mergeCell ref="K61:L61"/>
    <mergeCell ref="B62:E62"/>
    <mergeCell ref="C8:C9"/>
  </mergeCells>
  <dataValidations count="5">
    <dataValidation type="custom" allowBlank="0" showDropDown="0" showInputMessage="1" showErrorMessage="1" errorTitle="VERIFICAR NÚMERO DE TELEFONO" error="Verifica que tenga 9 digitos sin espacio" sqref="J8">
      <formula1>(LEN(C11)=9)</formula1>
    </dataValidation>
    <dataValidation type="custom" allowBlank="0" showDropDown="0" showInputMessage="1" showErrorMessage="1" errorTitle="VERIFICAR NÚMERO DE TELEFONO" error="Verifica que tenga 9 digitos sin espacio" sqref="K8">
      <formula1>(LEN(C11)=9)</formula1>
    </dataValidation>
    <dataValidation type="custom" allowBlank="0" showDropDown="0" showInputMessage="1" showErrorMessage="1" errorTitle="VERIFICAR NÚMERO DE TELEFONO" error="Verifica que tenga 9 digitos sin espacio" sqref="L8">
      <formula1>(LEN(C11)=9)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INGRESA EL NOMBRE" error="Ingresa al menos 1 nombre del cliente" sqref="C9">
      <formula1>C8&lt;&gt;0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7"/>
  <sheetViews>
    <sheetView tabSelected="0" workbookViewId="0" showGridLines="true" showRowColHeaders="1">
      <selection activeCell="AB44" sqref="AB44"/>
    </sheetView>
  </sheetViews>
  <sheetFormatPr defaultRowHeight="14.4" outlineLevelRow="0" outlineLevelCol="0"/>
  <cols>
    <col min="2" max="2" width="24.708252" bestFit="true" customWidth="true" style="0"/>
    <col min="3" max="3" width="21.137695" bestFit="true" customWidth="true" style="0"/>
    <col min="4" max="4" width="19.995117" bestFit="true" customWidth="true" style="0"/>
    <col min="5" max="5" width="19.995117" bestFit="true" customWidth="true" style="0"/>
    <col min="6" max="6" width="21.137695" bestFit="true" customWidth="true" style="0"/>
    <col min="7" max="7" width="23.422852" bestFit="true" customWidth="true" style="0"/>
    <col min="8" max="8" width="34.134521" bestFit="true" customWidth="true" style="0"/>
    <col min="9" max="9" width="18.709717" bestFit="true" customWidth="true" style="0"/>
    <col min="10" max="10" width="38.847656" bestFit="true" customWidth="true" style="0"/>
    <col min="11" max="11" width="16.424561" bestFit="true" customWidth="true" style="0"/>
    <col min="12" max="12" width="45.845947" bestFit="true" customWidth="true" style="0"/>
    <col min="13" max="13" width="38.847656" bestFit="true" customWidth="true" style="0"/>
    <col min="14" max="14" width="39.990234" bestFit="true" customWidth="true" style="0"/>
    <col min="15" max="15" width="41.132813" bestFit="true" customWidth="true" style="0"/>
    <col min="16" max="16" width="43.560791" bestFit="true" customWidth="true" style="0"/>
    <col min="17" max="17" width="48.273926" bestFit="true" customWidth="true" style="0"/>
    <col min="18" max="18" width="43.560791" bestFit="true" customWidth="true" style="0"/>
    <col min="19" max="19" width="50.559082" bestFit="true" customWidth="true" style="0"/>
    <col min="20" max="20" width="42.418213" bestFit="true" customWidth="true" style="0"/>
    <col min="21" max="21" width="35.2771" bestFit="true" customWidth="true" style="0"/>
    <col min="22" max="22" width="36.419678" bestFit="true" customWidth="true" style="0"/>
    <col min="23" max="23" width="38.847656" bestFit="true" customWidth="true" style="0"/>
    <col min="24" max="24" width="34.134521" bestFit="true" customWidth="true" style="0"/>
    <col min="25" max="25" width="54.129639" bestFit="true" customWidth="true" style="0"/>
    <col min="26" max="26" width="54.129639" bestFit="true" customWidth="true" style="0"/>
    <col min="27" max="27" width="37.705078" bestFit="true" customWidth="true" style="0"/>
    <col min="28" max="28" width="13.996582" bestFit="true" customWidth="true" style="0"/>
  </cols>
  <sheetData>
    <row r="3" spans="1:32">
      <c r="B3" s="75" t="s">
        <v>109</v>
      </c>
      <c r="C3" s="74"/>
      <c r="D3" s="74"/>
      <c r="E3" s="74"/>
      <c r="F3" s="74"/>
      <c r="G3" s="74"/>
    </row>
    <row r="5" spans="1:32">
      <c r="B5" s="78" t="s">
        <v>110</v>
      </c>
      <c r="C5" s="80" t="s">
        <v>50</v>
      </c>
      <c r="D5" s="80" t="s">
        <v>51</v>
      </c>
      <c r="E5" s="80" t="s">
        <v>52</v>
      </c>
      <c r="F5" s="80" t="s">
        <v>53</v>
      </c>
      <c r="G5" s="80" t="s">
        <v>54</v>
      </c>
      <c r="H5" s="80" t="s">
        <v>55</v>
      </c>
      <c r="I5" s="80" t="s">
        <v>56</v>
      </c>
      <c r="J5" s="80" t="s">
        <v>57</v>
      </c>
      <c r="K5" s="80" t="s">
        <v>58</v>
      </c>
      <c r="L5" s="80" t="s">
        <v>59</v>
      </c>
      <c r="M5" s="80" t="s">
        <v>60</v>
      </c>
      <c r="N5" s="80" t="s">
        <v>61</v>
      </c>
      <c r="O5" s="80" t="s">
        <v>62</v>
      </c>
      <c r="P5" s="80" t="s">
        <v>63</v>
      </c>
      <c r="Q5" s="80" t="s">
        <v>64</v>
      </c>
      <c r="R5" s="80" t="s">
        <v>65</v>
      </c>
      <c r="S5" s="80" t="s">
        <v>66</v>
      </c>
      <c r="T5" s="80" t="s">
        <v>67</v>
      </c>
      <c r="U5" s="80" t="s">
        <v>68</v>
      </c>
      <c r="V5" s="80" t="s">
        <v>69</v>
      </c>
      <c r="W5" s="80" t="s">
        <v>70</v>
      </c>
      <c r="X5" s="80" t="s">
        <v>71</v>
      </c>
      <c r="Y5" s="80" t="s">
        <v>72</v>
      </c>
      <c r="Z5" s="80" t="s">
        <v>73</v>
      </c>
      <c r="AA5" s="80" t="s">
        <v>74</v>
      </c>
      <c r="AB5" s="80" t="s">
        <v>111</v>
      </c>
    </row>
    <row r="6" spans="1:32">
      <c r="B6" s="74" t="s">
        <v>112</v>
      </c>
      <c r="C6" s="74">
        <v>0</v>
      </c>
      <c r="D6" s="74">
        <v>0</v>
      </c>
      <c r="E6" s="74">
        <v>0</v>
      </c>
      <c r="F6" s="74">
        <v>0</v>
      </c>
      <c r="G6" s="74">
        <v>0</v>
      </c>
      <c r="H6" s="74">
        <v>0</v>
      </c>
      <c r="I6" s="74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0</v>
      </c>
      <c r="X6" s="74">
        <v>0</v>
      </c>
      <c r="Y6" s="74">
        <v>0</v>
      </c>
      <c r="Z6" s="74">
        <v>0</v>
      </c>
      <c r="AA6" s="74">
        <v>0</v>
      </c>
      <c r="AB6" s="82">
        <v>1.37</v>
      </c>
      <c r="AE6" s="76" t="s">
        <v>113</v>
      </c>
      <c r="AF6" s="76" t="s">
        <v>114</v>
      </c>
    </row>
    <row r="7" spans="1:32">
      <c r="B7" s="74" t="s">
        <v>115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0</v>
      </c>
      <c r="X7" s="74">
        <v>0</v>
      </c>
      <c r="Y7" s="74">
        <v>0</v>
      </c>
      <c r="Z7" s="74">
        <v>0</v>
      </c>
      <c r="AA7" s="74">
        <v>0</v>
      </c>
      <c r="AB7" s="83">
        <v>9.78</v>
      </c>
      <c r="AE7" s="77" t="s">
        <v>18</v>
      </c>
      <c r="AF7" s="77">
        <v>300</v>
      </c>
    </row>
    <row r="8" spans="1:32">
      <c r="B8" s="74" t="s">
        <v>116</v>
      </c>
      <c r="C8" s="81">
        <v>16.392307692308</v>
      </c>
      <c r="D8" s="81">
        <v>31.333333333333</v>
      </c>
      <c r="E8" s="81">
        <v>26.18</v>
      </c>
      <c r="F8" s="81">
        <v>1.59</v>
      </c>
      <c r="G8" s="81">
        <v>0.88</v>
      </c>
      <c r="H8" s="81">
        <v>4.24625</v>
      </c>
      <c r="I8" s="81">
        <v>3.3841666666667</v>
      </c>
      <c r="J8" s="81">
        <v>39.9</v>
      </c>
      <c r="K8" s="81">
        <v>0.9</v>
      </c>
      <c r="L8" s="81">
        <v>110</v>
      </c>
      <c r="M8" s="81">
        <v>3.2</v>
      </c>
      <c r="N8" s="81">
        <v>2.125</v>
      </c>
      <c r="O8" s="81">
        <v>3.4</v>
      </c>
      <c r="P8" s="81">
        <v>380</v>
      </c>
      <c r="Q8" s="81">
        <v>295</v>
      </c>
      <c r="R8" s="81">
        <v>125</v>
      </c>
      <c r="S8" s="81">
        <v>8.6</v>
      </c>
      <c r="T8" s="81">
        <v>1.885</v>
      </c>
      <c r="U8" s="81">
        <v>7.1</v>
      </c>
      <c r="V8" s="81">
        <v>4.4</v>
      </c>
      <c r="W8" s="81">
        <v>5.8</v>
      </c>
      <c r="X8" s="81">
        <v>10</v>
      </c>
      <c r="Y8" s="81">
        <v>4.19</v>
      </c>
      <c r="Z8" s="81">
        <v>1.9025</v>
      </c>
      <c r="AA8" s="81">
        <v>0.62333333333333</v>
      </c>
      <c r="AB8" s="74"/>
    </row>
    <row r="9" spans="1:32">
      <c r="B9" s="79" t="s">
        <v>117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74"/>
    </row>
    <row r="10" spans="1:32">
      <c r="B10" s="74" t="s">
        <v>118</v>
      </c>
      <c r="C10" s="74">
        <v>65</v>
      </c>
      <c r="D10" s="74">
        <v>6</v>
      </c>
      <c r="E10" s="74">
        <v>1</v>
      </c>
      <c r="F10" s="74">
        <v>200</v>
      </c>
      <c r="G10" s="74">
        <v>200</v>
      </c>
      <c r="H10" s="74">
        <v>400</v>
      </c>
      <c r="I10" s="74">
        <v>240</v>
      </c>
      <c r="J10" s="74">
        <v>30</v>
      </c>
      <c r="K10" s="74">
        <v>300</v>
      </c>
      <c r="L10" s="74">
        <v>6</v>
      </c>
      <c r="M10" s="74">
        <v>60</v>
      </c>
      <c r="N10" s="74">
        <v>120</v>
      </c>
      <c r="O10" s="74">
        <v>90</v>
      </c>
      <c r="P10" s="74">
        <v>4</v>
      </c>
      <c r="Q10" s="74">
        <v>2</v>
      </c>
      <c r="R10" s="74">
        <v>6</v>
      </c>
      <c r="S10" s="74">
        <v>36</v>
      </c>
      <c r="T10" s="74">
        <v>700</v>
      </c>
      <c r="U10" s="74">
        <v>4</v>
      </c>
      <c r="V10" s="74">
        <v>10</v>
      </c>
      <c r="W10" s="74">
        <v>20</v>
      </c>
      <c r="X10" s="74">
        <v>9</v>
      </c>
      <c r="Y10" s="74">
        <v>80</v>
      </c>
      <c r="Z10" s="74">
        <v>320</v>
      </c>
      <c r="AA10" s="74">
        <v>240</v>
      </c>
      <c r="AB10" s="74" t="str">
        <f>SUM(C10:AA10)</f>
        <v>0</v>
      </c>
    </row>
    <row r="11" spans="1:32">
      <c r="B11" s="74" t="s">
        <v>119</v>
      </c>
      <c r="C11" s="81" t="str">
        <f>C8*C10</f>
        <v>0</v>
      </c>
      <c r="D11" s="81" t="str">
        <f>D8*D10</f>
        <v>0</v>
      </c>
      <c r="E11" s="81" t="str">
        <f>E8*E10</f>
        <v>0</v>
      </c>
      <c r="F11" s="81" t="str">
        <f>F8*F10</f>
        <v>0</v>
      </c>
      <c r="G11" s="81" t="str">
        <f>G8*G10</f>
        <v>0</v>
      </c>
      <c r="H11" s="81" t="str">
        <f>H8*H10</f>
        <v>0</v>
      </c>
      <c r="I11" s="81" t="str">
        <f>I8*I10</f>
        <v>0</v>
      </c>
      <c r="J11" s="81" t="str">
        <f>J8*J10</f>
        <v>0</v>
      </c>
      <c r="K11" s="81" t="str">
        <f>K8*K10</f>
        <v>0</v>
      </c>
      <c r="L11" s="81" t="str">
        <f>L8*L10</f>
        <v>0</v>
      </c>
      <c r="M11" s="81" t="str">
        <f>M8*M10</f>
        <v>0</v>
      </c>
      <c r="N11" s="81" t="str">
        <f>N8*N10</f>
        <v>0</v>
      </c>
      <c r="O11" s="81" t="str">
        <f>O8*O10</f>
        <v>0</v>
      </c>
      <c r="P11" s="81" t="str">
        <f>P8*P10</f>
        <v>0</v>
      </c>
      <c r="Q11" s="81" t="str">
        <f>Q8*Q10</f>
        <v>0</v>
      </c>
      <c r="R11" s="81" t="str">
        <f>R8*R10</f>
        <v>0</v>
      </c>
      <c r="S11" s="81" t="str">
        <f>S8*S10</f>
        <v>0</v>
      </c>
      <c r="T11" s="81" t="str">
        <f>T8*T10</f>
        <v>0</v>
      </c>
      <c r="U11" s="81" t="str">
        <f>U8*U10</f>
        <v>0</v>
      </c>
      <c r="V11" s="81" t="str">
        <f>V8*V10</f>
        <v>0</v>
      </c>
      <c r="W11" s="81" t="str">
        <f>W8*W10</f>
        <v>0</v>
      </c>
      <c r="X11" s="81" t="str">
        <f>X8*X10</f>
        <v>0</v>
      </c>
      <c r="Y11" s="81" t="str">
        <f>Y8*Y10</f>
        <v>0</v>
      </c>
      <c r="Z11" s="81" t="str">
        <f>Z8*Z10</f>
        <v>0</v>
      </c>
      <c r="AA11" s="81" t="str">
        <f>AA8*AA10</f>
        <v>0</v>
      </c>
      <c r="AB11" s="86" t="str">
        <f>SUM(C11:AA11)</f>
        <v>0</v>
      </c>
    </row>
    <row r="12" spans="1:32">
      <c r="B12" s="79" t="s">
        <v>120</v>
      </c>
      <c r="C12" s="81" t="str">
        <f>C10*C9</f>
        <v>0</v>
      </c>
      <c r="D12" s="81" t="str">
        <f>D10*D9</f>
        <v>0</v>
      </c>
      <c r="E12" s="81" t="str">
        <f>E10*E9</f>
        <v>0</v>
      </c>
      <c r="F12" s="81" t="str">
        <f>F10*F9</f>
        <v>0</v>
      </c>
      <c r="G12" s="81" t="str">
        <f>G10*G9</f>
        <v>0</v>
      </c>
      <c r="H12" s="81" t="str">
        <f>H10*H9</f>
        <v>0</v>
      </c>
      <c r="I12" s="81" t="str">
        <f>I10*I9</f>
        <v>0</v>
      </c>
      <c r="J12" s="81" t="str">
        <f>J10*J9</f>
        <v>0</v>
      </c>
      <c r="K12" s="81" t="str">
        <f>K10*K9</f>
        <v>0</v>
      </c>
      <c r="L12" s="81" t="str">
        <f>L10*L9</f>
        <v>0</v>
      </c>
      <c r="M12" s="81" t="str">
        <f>M10*M9</f>
        <v>0</v>
      </c>
      <c r="N12" s="81" t="str">
        <f>N10*N9</f>
        <v>0</v>
      </c>
      <c r="O12" s="81" t="str">
        <f>O10*O9</f>
        <v>0</v>
      </c>
      <c r="P12" s="81" t="str">
        <f>P10*P9</f>
        <v>0</v>
      </c>
      <c r="Q12" s="81" t="str">
        <f>Q10*Q9</f>
        <v>0</v>
      </c>
      <c r="R12" s="81" t="str">
        <f>R10*R9</f>
        <v>0</v>
      </c>
      <c r="S12" s="81" t="str">
        <f>S10*S9</f>
        <v>0</v>
      </c>
      <c r="T12" s="81" t="str">
        <f>T10*T9</f>
        <v>0</v>
      </c>
      <c r="U12" s="81" t="str">
        <f>U10*U9</f>
        <v>0</v>
      </c>
      <c r="V12" s="81" t="str">
        <f>V10*V9</f>
        <v>0</v>
      </c>
      <c r="W12" s="81" t="str">
        <f>W10*W9</f>
        <v>0</v>
      </c>
      <c r="X12" s="81" t="str">
        <f>X10*X9</f>
        <v>0</v>
      </c>
      <c r="Y12" s="81" t="str">
        <f>Y10*Y9</f>
        <v>0</v>
      </c>
      <c r="Z12" s="81" t="str">
        <f>Z10*Z9</f>
        <v>0</v>
      </c>
      <c r="AA12" s="81" t="str">
        <f>AA10*AA9</f>
        <v>0</v>
      </c>
      <c r="AB12" s="86" t="str">
        <f>SUM(C12:AA12)</f>
        <v>0</v>
      </c>
    </row>
    <row r="13" spans="1:32">
      <c r="B13" s="74" t="s">
        <v>121</v>
      </c>
      <c r="C13" s="84" t="str">
        <f>C11/AB11</f>
        <v>0</v>
      </c>
      <c r="D13" s="84" t="str">
        <f>D11/AB11</f>
        <v>0</v>
      </c>
      <c r="E13" s="84" t="str">
        <f>E11/AB11</f>
        <v>0</v>
      </c>
      <c r="F13" s="84" t="str">
        <f>F11/AB11</f>
        <v>0</v>
      </c>
      <c r="G13" s="84" t="str">
        <f>G11/AB11</f>
        <v>0</v>
      </c>
      <c r="H13" s="84" t="str">
        <f>H11/AB11</f>
        <v>0</v>
      </c>
      <c r="I13" s="84" t="str">
        <f>I11/AB11</f>
        <v>0</v>
      </c>
      <c r="J13" s="84" t="str">
        <f>J11/AB11</f>
        <v>0</v>
      </c>
      <c r="K13" s="84" t="str">
        <f>K11/AB11</f>
        <v>0</v>
      </c>
      <c r="L13" s="84" t="str">
        <f>L11/AB11</f>
        <v>0</v>
      </c>
      <c r="M13" s="84" t="str">
        <f>M11/AB11</f>
        <v>0</v>
      </c>
      <c r="N13" s="84" t="str">
        <f>N11/AB11</f>
        <v>0</v>
      </c>
      <c r="O13" s="84" t="str">
        <f>O11/AB11</f>
        <v>0</v>
      </c>
      <c r="P13" s="84" t="str">
        <f>P11/AB11</f>
        <v>0</v>
      </c>
      <c r="Q13" s="84" t="str">
        <f>Q11/AB11</f>
        <v>0</v>
      </c>
      <c r="R13" s="84" t="str">
        <f>R11/AB11</f>
        <v>0</v>
      </c>
      <c r="S13" s="84" t="str">
        <f>S11/AB11</f>
        <v>0</v>
      </c>
      <c r="T13" s="84" t="str">
        <f>T11/AB11</f>
        <v>0</v>
      </c>
      <c r="U13" s="84" t="str">
        <f>U11/AB11</f>
        <v>0</v>
      </c>
      <c r="V13" s="84" t="str">
        <f>V11/AB11</f>
        <v>0</v>
      </c>
      <c r="W13" s="84" t="str">
        <f>W11/AB11</f>
        <v>0</v>
      </c>
      <c r="X13" s="84" t="str">
        <f>X11/AB11</f>
        <v>0</v>
      </c>
      <c r="Y13" s="84" t="str">
        <f>Y11/AB11</f>
        <v>0</v>
      </c>
      <c r="Z13" s="84" t="str">
        <f>Z11/AB11</f>
        <v>0</v>
      </c>
      <c r="AA13" s="84" t="str">
        <f>AA11/AB11</f>
        <v>0</v>
      </c>
      <c r="AB13" s="74"/>
    </row>
    <row r="14" spans="1:32">
      <c r="B14" s="74" t="s">
        <v>122</v>
      </c>
      <c r="C14" s="81" t="str">
        <f>AB14*C13</f>
        <v>0</v>
      </c>
      <c r="D14" s="81" t="str">
        <f>AB14*D13</f>
        <v>0</v>
      </c>
      <c r="E14" s="81" t="str">
        <f>AB14*E13</f>
        <v>0</v>
      </c>
      <c r="F14" s="81" t="str">
        <f>AB14*F13</f>
        <v>0</v>
      </c>
      <c r="G14" s="81" t="str">
        <f>AB14*G13</f>
        <v>0</v>
      </c>
      <c r="H14" s="81" t="str">
        <f>AB14*H13</f>
        <v>0</v>
      </c>
      <c r="I14" s="81" t="str">
        <f>AB14*I13</f>
        <v>0</v>
      </c>
      <c r="J14" s="81" t="str">
        <f>AB14*J13</f>
        <v>0</v>
      </c>
      <c r="K14" s="81" t="str">
        <f>AB14*K13</f>
        <v>0</v>
      </c>
      <c r="L14" s="81" t="str">
        <f>AB14*L13</f>
        <v>0</v>
      </c>
      <c r="M14" s="81" t="str">
        <f>AB14*M13</f>
        <v>0</v>
      </c>
      <c r="N14" s="81" t="str">
        <f>AB14*N13</f>
        <v>0</v>
      </c>
      <c r="O14" s="81" t="str">
        <f>AB14*O13</f>
        <v>0</v>
      </c>
      <c r="P14" s="81" t="str">
        <f>AB14*P13</f>
        <v>0</v>
      </c>
      <c r="Q14" s="81" t="str">
        <f>AB14*Q13</f>
        <v>0</v>
      </c>
      <c r="R14" s="81" t="str">
        <f>AB14*R13</f>
        <v>0</v>
      </c>
      <c r="S14" s="81" t="str">
        <f>AB14*S13</f>
        <v>0</v>
      </c>
      <c r="T14" s="81" t="str">
        <f>AB14*T13</f>
        <v>0</v>
      </c>
      <c r="U14" s="81" t="str">
        <f>AB14*U13</f>
        <v>0</v>
      </c>
      <c r="V14" s="81" t="str">
        <f>AB14*V13</f>
        <v>0</v>
      </c>
      <c r="W14" s="81" t="str">
        <f>AB14*W13</f>
        <v>0</v>
      </c>
      <c r="X14" s="81" t="str">
        <f>AB14*X13</f>
        <v>0</v>
      </c>
      <c r="Y14" s="81" t="str">
        <f>AB14*Y13</f>
        <v>0</v>
      </c>
      <c r="Z14" s="81" t="str">
        <f>AB14*Z13</f>
        <v>0</v>
      </c>
      <c r="AA14" s="81" t="str">
        <f>AB14*AA13</f>
        <v>0</v>
      </c>
      <c r="AB14" s="86" t="str">
        <f>IF(AB7&lt;1, AF7*0.6, AF7*0.6*AB7)</f>
        <v>0</v>
      </c>
    </row>
    <row r="15" spans="1:32">
      <c r="B15" s="74" t="s">
        <v>123</v>
      </c>
      <c r="C15" s="81" t="str">
        <f>C11+C14</f>
        <v>0</v>
      </c>
      <c r="D15" s="81" t="str">
        <f>D11+D14</f>
        <v>0</v>
      </c>
      <c r="E15" s="81" t="str">
        <f>E11+E14</f>
        <v>0</v>
      </c>
      <c r="F15" s="81" t="str">
        <f>F11+F14</f>
        <v>0</v>
      </c>
      <c r="G15" s="81" t="str">
        <f>G11+G14</f>
        <v>0</v>
      </c>
      <c r="H15" s="81" t="str">
        <f>H11+H14</f>
        <v>0</v>
      </c>
      <c r="I15" s="81" t="str">
        <f>I11+I14</f>
        <v>0</v>
      </c>
      <c r="J15" s="81" t="str">
        <f>J11+J14</f>
        <v>0</v>
      </c>
      <c r="K15" s="81" t="str">
        <f>K11+K14</f>
        <v>0</v>
      </c>
      <c r="L15" s="81" t="str">
        <f>L11+L14</f>
        <v>0</v>
      </c>
      <c r="M15" s="81" t="str">
        <f>M11+M14</f>
        <v>0</v>
      </c>
      <c r="N15" s="81" t="str">
        <f>N11+N14</f>
        <v>0</v>
      </c>
      <c r="O15" s="81" t="str">
        <f>O11+O14</f>
        <v>0</v>
      </c>
      <c r="P15" s="81" t="str">
        <f>P11+P14</f>
        <v>0</v>
      </c>
      <c r="Q15" s="81" t="str">
        <f>Q11+Q14</f>
        <v>0</v>
      </c>
      <c r="R15" s="81" t="str">
        <f>R11+R14</f>
        <v>0</v>
      </c>
      <c r="S15" s="81" t="str">
        <f>S11+S14</f>
        <v>0</v>
      </c>
      <c r="T15" s="81" t="str">
        <f>T11+T14</f>
        <v>0</v>
      </c>
      <c r="U15" s="81" t="str">
        <f>U11+U14</f>
        <v>0</v>
      </c>
      <c r="V15" s="81" t="str">
        <f>V11+V14</f>
        <v>0</v>
      </c>
      <c r="W15" s="81" t="str">
        <f>W11+W14</f>
        <v>0</v>
      </c>
      <c r="X15" s="81" t="str">
        <f>X11+X14</f>
        <v>0</v>
      </c>
      <c r="Y15" s="81" t="str">
        <f>Y11+Y14</f>
        <v>0</v>
      </c>
      <c r="Z15" s="81" t="str">
        <f>Z11+Z14</f>
        <v>0</v>
      </c>
      <c r="AA15" s="81" t="str">
        <f>AA11+AA14</f>
        <v>0</v>
      </c>
      <c r="AB15" s="86" t="str">
        <f>SUM(C15:AA15)</f>
        <v>0</v>
      </c>
    </row>
    <row r="16" spans="1:32">
      <c r="B16" s="79" t="s">
        <v>124</v>
      </c>
      <c r="C16" s="81" t="str">
        <f>C12+C14</f>
        <v>0</v>
      </c>
      <c r="D16" s="81" t="str">
        <f>D12+D14</f>
        <v>0</v>
      </c>
      <c r="E16" s="81" t="str">
        <f>E12+E14</f>
        <v>0</v>
      </c>
      <c r="F16" s="81" t="str">
        <f>F12+F14</f>
        <v>0</v>
      </c>
      <c r="G16" s="81" t="str">
        <f>G12+G14</f>
        <v>0</v>
      </c>
      <c r="H16" s="81" t="str">
        <f>H12+H14</f>
        <v>0</v>
      </c>
      <c r="I16" s="81" t="str">
        <f>I12+I14</f>
        <v>0</v>
      </c>
      <c r="J16" s="81" t="str">
        <f>J12+J14</f>
        <v>0</v>
      </c>
      <c r="K16" s="81" t="str">
        <f>K12+K14</f>
        <v>0</v>
      </c>
      <c r="L16" s="81" t="str">
        <f>L12+L14</f>
        <v>0</v>
      </c>
      <c r="M16" s="81" t="str">
        <f>M12+M14</f>
        <v>0</v>
      </c>
      <c r="N16" s="81" t="str">
        <f>N12+N14</f>
        <v>0</v>
      </c>
      <c r="O16" s="81" t="str">
        <f>O12+O14</f>
        <v>0</v>
      </c>
      <c r="P16" s="81" t="str">
        <f>P12+P14</f>
        <v>0</v>
      </c>
      <c r="Q16" s="81" t="str">
        <f>Q12+Q14</f>
        <v>0</v>
      </c>
      <c r="R16" s="81" t="str">
        <f>R12+R14</f>
        <v>0</v>
      </c>
      <c r="S16" s="81" t="str">
        <f>S12+S14</f>
        <v>0</v>
      </c>
      <c r="T16" s="81" t="str">
        <f>T12+T14</f>
        <v>0</v>
      </c>
      <c r="U16" s="81" t="str">
        <f>U12+U14</f>
        <v>0</v>
      </c>
      <c r="V16" s="81" t="str">
        <f>V12+V14</f>
        <v>0</v>
      </c>
      <c r="W16" s="81" t="str">
        <f>W12+W14</f>
        <v>0</v>
      </c>
      <c r="X16" s="81" t="str">
        <f>X12+X14</f>
        <v>0</v>
      </c>
      <c r="Y16" s="81" t="str">
        <f>Y12+Y14</f>
        <v>0</v>
      </c>
      <c r="Z16" s="81" t="str">
        <f>Z12+Z14</f>
        <v>0</v>
      </c>
      <c r="AA16" s="81" t="str">
        <f>AA12+AA14</f>
        <v>0</v>
      </c>
      <c r="AB16" s="86" t="str">
        <f>SUM(C16:AA16)</f>
        <v>0</v>
      </c>
    </row>
    <row r="17" spans="1:32">
      <c r="B17" s="74" t="s">
        <v>125</v>
      </c>
      <c r="C17" s="81" t="str">
        <f>IF(AB15&gt;5000,100*C13,50*C13)</f>
        <v>0</v>
      </c>
      <c r="D17" s="81" t="str">
        <f>IF(AB15&gt;5000,100*D13,50*D13)</f>
        <v>0</v>
      </c>
      <c r="E17" s="81" t="str">
        <f>IF(AB15&gt;5000,100*E13,50*E13)</f>
        <v>0</v>
      </c>
      <c r="F17" s="81" t="str">
        <f>IF(AB15&gt;5000,100*F13,50*F13)</f>
        <v>0</v>
      </c>
      <c r="G17" s="81" t="str">
        <f>IF(AB15&gt;5000,100*G13,50*G13)</f>
        <v>0</v>
      </c>
      <c r="H17" s="81" t="str">
        <f>IF(AB15&gt;5000,100*H13,50*H13)</f>
        <v>0</v>
      </c>
      <c r="I17" s="81" t="str">
        <f>IF(AB15&gt;5000,100*I13,50*I13)</f>
        <v>0</v>
      </c>
      <c r="J17" s="81" t="str">
        <f>IF(AB15&gt;5000,100*J13,50*J13)</f>
        <v>0</v>
      </c>
      <c r="K17" s="81" t="str">
        <f>IF(AB15&gt;5000,100*K13,50*K13)</f>
        <v>0</v>
      </c>
      <c r="L17" s="81" t="str">
        <f>IF(AB15&gt;5000,100*L13,50*L13)</f>
        <v>0</v>
      </c>
      <c r="M17" s="81" t="str">
        <f>IF(AB15&gt;5000,100*M13,50*M13)</f>
        <v>0</v>
      </c>
      <c r="N17" s="81" t="str">
        <f>IF(AB15&gt;5000,100*N13,50*N13)</f>
        <v>0</v>
      </c>
      <c r="O17" s="81" t="str">
        <f>IF(AB15&gt;5000,100*O13,50*O13)</f>
        <v>0</v>
      </c>
      <c r="P17" s="81" t="str">
        <f>IF(AB15&gt;5000,100*P13,50*P13)</f>
        <v>0</v>
      </c>
      <c r="Q17" s="81" t="str">
        <f>IF(AB15&gt;5000,100*Q13,50*Q13)</f>
        <v>0</v>
      </c>
      <c r="R17" s="81" t="str">
        <f>IF(AB15&gt;5000,100*R13,50*R13)</f>
        <v>0</v>
      </c>
      <c r="S17" s="81" t="str">
        <f>IF(AB15&gt;5000,100*S13,50*S13)</f>
        <v>0</v>
      </c>
      <c r="T17" s="81" t="str">
        <f>IF(AB15&gt;5000,100*T13,50*T13)</f>
        <v>0</v>
      </c>
      <c r="U17" s="81" t="str">
        <f>IF(AB15&gt;5000,100*U13,50*U13)</f>
        <v>0</v>
      </c>
      <c r="V17" s="81" t="str">
        <f>IF(AB15&gt;5000,100*V13,50*V13)</f>
        <v>0</v>
      </c>
      <c r="W17" s="81" t="str">
        <f>IF(AB15&gt;5000,100*W13,50*W13)</f>
        <v>0</v>
      </c>
      <c r="X17" s="81" t="str">
        <f>IF(AB15&gt;5000,100*X13,50*X13)</f>
        <v>0</v>
      </c>
      <c r="Y17" s="81" t="str">
        <f>IF(AB15&gt;5000,100*Y13,50*Y13)</f>
        <v>0</v>
      </c>
      <c r="Z17" s="81" t="str">
        <f>IF(AB15&gt;5000,100*Z13,50*Z13)</f>
        <v>0</v>
      </c>
      <c r="AA17" s="81" t="str">
        <f>IF(AB15&gt;5000,100*AA13,50*AA13)</f>
        <v>0</v>
      </c>
      <c r="AB17" s="86" t="str">
        <f>SUM(C17:AA17)</f>
        <v>0</v>
      </c>
    </row>
    <row r="18" spans="1:32">
      <c r="B18" s="74" t="s">
        <v>126</v>
      </c>
      <c r="C18" s="81" t="str">
        <f>C15+C17</f>
        <v>0</v>
      </c>
      <c r="D18" s="81" t="str">
        <f>D15+D17</f>
        <v>0</v>
      </c>
      <c r="E18" s="81" t="str">
        <f>E15+E17</f>
        <v>0</v>
      </c>
      <c r="F18" s="81" t="str">
        <f>F15+F17</f>
        <v>0</v>
      </c>
      <c r="G18" s="81" t="str">
        <f>G15+G17</f>
        <v>0</v>
      </c>
      <c r="H18" s="81" t="str">
        <f>H15+H17</f>
        <v>0</v>
      </c>
      <c r="I18" s="81" t="str">
        <f>I15+I17</f>
        <v>0</v>
      </c>
      <c r="J18" s="81" t="str">
        <f>J15+J17</f>
        <v>0</v>
      </c>
      <c r="K18" s="81" t="str">
        <f>K15+K17</f>
        <v>0</v>
      </c>
      <c r="L18" s="81" t="str">
        <f>L15+L17</f>
        <v>0</v>
      </c>
      <c r="M18" s="81" t="str">
        <f>M15+M17</f>
        <v>0</v>
      </c>
      <c r="N18" s="81" t="str">
        <f>N15+N17</f>
        <v>0</v>
      </c>
      <c r="O18" s="81" t="str">
        <f>O15+O17</f>
        <v>0</v>
      </c>
      <c r="P18" s="81" t="str">
        <f>P15+P17</f>
        <v>0</v>
      </c>
      <c r="Q18" s="81" t="str">
        <f>Q15+Q17</f>
        <v>0</v>
      </c>
      <c r="R18" s="81" t="str">
        <f>R15+R17</f>
        <v>0</v>
      </c>
      <c r="S18" s="81" t="str">
        <f>S15+S17</f>
        <v>0</v>
      </c>
      <c r="T18" s="81" t="str">
        <f>T15+T17</f>
        <v>0</v>
      </c>
      <c r="U18" s="81" t="str">
        <f>U15+U17</f>
        <v>0</v>
      </c>
      <c r="V18" s="81" t="str">
        <f>V15+V17</f>
        <v>0</v>
      </c>
      <c r="W18" s="81" t="str">
        <f>W15+W17</f>
        <v>0</v>
      </c>
      <c r="X18" s="81" t="str">
        <f>X15+X17</f>
        <v>0</v>
      </c>
      <c r="Y18" s="81" t="str">
        <f>Y15+Y17</f>
        <v>0</v>
      </c>
      <c r="Z18" s="81" t="str">
        <f>Z15+Z17</f>
        <v>0</v>
      </c>
      <c r="AA18" s="81" t="str">
        <f>AA15+AA17</f>
        <v>0</v>
      </c>
      <c r="AB18" s="86" t="str">
        <f>SUM(C18:AA18)</f>
        <v>0</v>
      </c>
    </row>
    <row r="19" spans="1:32">
      <c r="B19" s="79" t="s">
        <v>127</v>
      </c>
      <c r="C19" s="81" t="str">
        <f>C16+C17</f>
        <v>0</v>
      </c>
      <c r="D19" s="81" t="str">
        <f>D16+D17</f>
        <v>0</v>
      </c>
      <c r="E19" s="81" t="str">
        <f>E16+E17</f>
        <v>0</v>
      </c>
      <c r="F19" s="81" t="str">
        <f>F16+F17</f>
        <v>0</v>
      </c>
      <c r="G19" s="81" t="str">
        <f>G16+G17</f>
        <v>0</v>
      </c>
      <c r="H19" s="81" t="str">
        <f>H16+H17</f>
        <v>0</v>
      </c>
      <c r="I19" s="81" t="str">
        <f>I16+I17</f>
        <v>0</v>
      </c>
      <c r="J19" s="81" t="str">
        <f>J16+J17</f>
        <v>0</v>
      </c>
      <c r="K19" s="81" t="str">
        <f>K16+K17</f>
        <v>0</v>
      </c>
      <c r="L19" s="81" t="str">
        <f>L16+L17</f>
        <v>0</v>
      </c>
      <c r="M19" s="81" t="str">
        <f>M16+M17</f>
        <v>0</v>
      </c>
      <c r="N19" s="81" t="str">
        <f>N16+N17</f>
        <v>0</v>
      </c>
      <c r="O19" s="81" t="str">
        <f>O16+O17</f>
        <v>0</v>
      </c>
      <c r="P19" s="81" t="str">
        <f>P16+P17</f>
        <v>0</v>
      </c>
      <c r="Q19" s="81" t="str">
        <f>Q16+Q17</f>
        <v>0</v>
      </c>
      <c r="R19" s="81" t="str">
        <f>R16+R17</f>
        <v>0</v>
      </c>
      <c r="S19" s="81" t="str">
        <f>S16+S17</f>
        <v>0</v>
      </c>
      <c r="T19" s="81" t="str">
        <f>T16+T17</f>
        <v>0</v>
      </c>
      <c r="U19" s="81" t="str">
        <f>U16+U17</f>
        <v>0</v>
      </c>
      <c r="V19" s="81" t="str">
        <f>V16+V17</f>
        <v>0</v>
      </c>
      <c r="W19" s="81" t="str">
        <f>W16+W17</f>
        <v>0</v>
      </c>
      <c r="X19" s="81" t="str">
        <f>X16+X17</f>
        <v>0</v>
      </c>
      <c r="Y19" s="81" t="str">
        <f>Y16+Y17</f>
        <v>0</v>
      </c>
      <c r="Z19" s="81" t="str">
        <f>Z16+Z17</f>
        <v>0</v>
      </c>
      <c r="AA19" s="81" t="str">
        <f>AA16+AA17</f>
        <v>0</v>
      </c>
      <c r="AB19" s="86" t="str">
        <f>SUM(C19:AA19)</f>
        <v>0</v>
      </c>
    </row>
    <row r="23" spans="1:32">
      <c r="B23" s="75" t="s">
        <v>128</v>
      </c>
      <c r="C23" s="74"/>
      <c r="D23" s="74"/>
      <c r="E23" s="74"/>
    </row>
    <row r="26" spans="1:32">
      <c r="B26" s="74" t="s">
        <v>33</v>
      </c>
      <c r="C26" s="81">
        <v>0</v>
      </c>
      <c r="D26" s="81">
        <v>0</v>
      </c>
      <c r="E26" s="81">
        <v>0</v>
      </c>
      <c r="F26" s="81">
        <v>400</v>
      </c>
      <c r="G26" s="81">
        <v>0</v>
      </c>
      <c r="H26" s="81">
        <v>0</v>
      </c>
      <c r="I26" s="81">
        <v>0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1">
        <v>0</v>
      </c>
      <c r="AA26" s="81">
        <v>0</v>
      </c>
      <c r="AB26" s="81" t="str">
        <f>SUM(C26:AA26)</f>
        <v>0</v>
      </c>
    </row>
    <row r="27" spans="1:32"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0.11</v>
      </c>
      <c r="I27" s="87">
        <v>0.11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0</v>
      </c>
      <c r="AB27" s="84" t="str">
        <f>SUM(C27:AA27)</f>
        <v>0</v>
      </c>
    </row>
    <row r="28" spans="1:32">
      <c r="B28" s="74" t="s">
        <v>129</v>
      </c>
      <c r="C28" s="81" t="str">
        <f>MAX(C19,C18)*C27</f>
        <v>0</v>
      </c>
      <c r="D28" s="81" t="str">
        <f>MAX(D19,D18)*D27</f>
        <v>0</v>
      </c>
      <c r="E28" s="81" t="str">
        <f>MAX(E19,E18)*E27</f>
        <v>0</v>
      </c>
      <c r="F28" s="81" t="str">
        <f>MAX(F19,F18)*F27</f>
        <v>0</v>
      </c>
      <c r="G28" s="81" t="str">
        <f>MAX(G19,G18)*G27</f>
        <v>0</v>
      </c>
      <c r="H28" s="81" t="str">
        <f>MAX(H19,H18)*H27</f>
        <v>0</v>
      </c>
      <c r="I28" s="81" t="str">
        <f>MAX(I19,I18)*I27</f>
        <v>0</v>
      </c>
      <c r="J28" s="81" t="str">
        <f>MAX(J19,J18)*J27</f>
        <v>0</v>
      </c>
      <c r="K28" s="81" t="str">
        <f>MAX(K19,K18)*K27</f>
        <v>0</v>
      </c>
      <c r="L28" s="81" t="str">
        <f>MAX(L19,L18)*L27</f>
        <v>0</v>
      </c>
      <c r="M28" s="81" t="str">
        <f>MAX(M19,M18)*M27</f>
        <v>0</v>
      </c>
      <c r="N28" s="81" t="str">
        <f>MAX(N19,N18)*N27</f>
        <v>0</v>
      </c>
      <c r="O28" s="81" t="str">
        <f>MAX(O19,O18)*O27</f>
        <v>0</v>
      </c>
      <c r="P28" s="81" t="str">
        <f>MAX(P19,P18)*P27</f>
        <v>0</v>
      </c>
      <c r="Q28" s="81" t="str">
        <f>MAX(Q19,Q18)*Q27</f>
        <v>0</v>
      </c>
      <c r="R28" s="81" t="str">
        <f>MAX(R19,R18)*R27</f>
        <v>0</v>
      </c>
      <c r="S28" s="81" t="str">
        <f>MAX(S19,S18)*S27</f>
        <v>0</v>
      </c>
      <c r="T28" s="81" t="str">
        <f>MAX(T19,T18)*T27</f>
        <v>0</v>
      </c>
      <c r="U28" s="81" t="str">
        <f>MAX(U19,U18)*U27</f>
        <v>0</v>
      </c>
      <c r="V28" s="81" t="str">
        <f>MAX(V19,V18)*V27</f>
        <v>0</v>
      </c>
      <c r="W28" s="81" t="str">
        <f>MAX(W19,W18)*W27</f>
        <v>0</v>
      </c>
      <c r="X28" s="81" t="str">
        <f>MAX(X19,X18)*X27</f>
        <v>0</v>
      </c>
      <c r="Y28" s="81" t="str">
        <f>MAX(Y19,Y18)*Y27</f>
        <v>0</v>
      </c>
      <c r="Z28" s="81" t="str">
        <f>MAX(Z19,Z18)*Z27</f>
        <v>0</v>
      </c>
      <c r="AA28" s="81" t="str">
        <f>MAX(AA19,AA18)*AA27</f>
        <v>0</v>
      </c>
      <c r="AB28" s="81" t="str">
        <f>SUM(C28:AA28)</f>
        <v>0</v>
      </c>
    </row>
    <row r="29" spans="1:32">
      <c r="B29" s="74" t="s">
        <v>31</v>
      </c>
      <c r="C29" s="81" t="str">
        <f>0.16*(MAX(C19,C18)+C28)</f>
        <v>0</v>
      </c>
      <c r="D29" s="81" t="str">
        <f>0.16*(MAX(D19,D18)+D28)</f>
        <v>0</v>
      </c>
      <c r="E29" s="81" t="str">
        <f>0.16*(MAX(E19,E18)+E28)</f>
        <v>0</v>
      </c>
      <c r="F29" s="81" t="str">
        <f>0.16*(MAX(F19,F18)+F28)</f>
        <v>0</v>
      </c>
      <c r="G29" s="81" t="str">
        <f>0.16*(MAX(G19,G18)+G28)</f>
        <v>0</v>
      </c>
      <c r="H29" s="81" t="str">
        <f>0.16*(MAX(H19,H18)+H28)</f>
        <v>0</v>
      </c>
      <c r="I29" s="81" t="str">
        <f>0.16*(MAX(I19,I18)+I28)</f>
        <v>0</v>
      </c>
      <c r="J29" s="81" t="str">
        <f>0.16*(MAX(J19,J18)+J28)</f>
        <v>0</v>
      </c>
      <c r="K29" s="81" t="str">
        <f>0.16*(MAX(K19,K18)+K28)</f>
        <v>0</v>
      </c>
      <c r="L29" s="81" t="str">
        <f>0.16*(MAX(L19,L18)+L28)</f>
        <v>0</v>
      </c>
      <c r="M29" s="81" t="str">
        <f>0.16*(MAX(M19,M18)+M28)</f>
        <v>0</v>
      </c>
      <c r="N29" s="81" t="str">
        <f>0.16*(MAX(N19,N18)+N28)</f>
        <v>0</v>
      </c>
      <c r="O29" s="81" t="str">
        <f>0.16*(MAX(O19,O18)+O28)</f>
        <v>0</v>
      </c>
      <c r="P29" s="81" t="str">
        <f>0.16*(MAX(P19,P18)+P28)</f>
        <v>0</v>
      </c>
      <c r="Q29" s="81" t="str">
        <f>0.16*(MAX(Q19,Q18)+Q28)</f>
        <v>0</v>
      </c>
      <c r="R29" s="81" t="str">
        <f>0.16*(MAX(R19,R18)+R28)</f>
        <v>0</v>
      </c>
      <c r="S29" s="81" t="str">
        <f>0.16*(MAX(S19,S18)+S28)</f>
        <v>0</v>
      </c>
      <c r="T29" s="81" t="str">
        <f>0.16*(MAX(T19,T18)+T28)</f>
        <v>0</v>
      </c>
      <c r="U29" s="81" t="str">
        <f>0.16*(MAX(U19,U18)+U28)</f>
        <v>0</v>
      </c>
      <c r="V29" s="81" t="str">
        <f>0.16*(MAX(V19,V18)+V28)</f>
        <v>0</v>
      </c>
      <c r="W29" s="81" t="str">
        <f>0.16*(MAX(W19,W18)+W28)</f>
        <v>0</v>
      </c>
      <c r="X29" s="81" t="str">
        <f>0.16*(MAX(X19,X18)+X28)</f>
        <v>0</v>
      </c>
      <c r="Y29" s="81" t="str">
        <f>0.16*(MAX(Y19,Y18)+Y28)</f>
        <v>0</v>
      </c>
      <c r="Z29" s="81" t="str">
        <f>0.16*(MAX(Z19,Z18)+Z28)</f>
        <v>0</v>
      </c>
      <c r="AA29" s="81" t="str">
        <f>0.16*(MAX(AA19,AA18)+AA28)</f>
        <v>0</v>
      </c>
      <c r="AB29" s="81" t="str">
        <f>SUM(C29:AA29)</f>
        <v>0</v>
      </c>
    </row>
    <row r="30" spans="1:32">
      <c r="B30" s="74" t="s">
        <v>32</v>
      </c>
      <c r="C30" s="81" t="str">
        <f>0.02*(MAX(C19,C18)+C28)</f>
        <v>0</v>
      </c>
      <c r="D30" s="81" t="str">
        <f>0.02*(MAX(D19,D18)+D28)</f>
        <v>0</v>
      </c>
      <c r="E30" s="81" t="str">
        <f>0.02*(MAX(E19,E18)+E28)</f>
        <v>0</v>
      </c>
      <c r="F30" s="81" t="str">
        <f>0.02*(MAX(F19,F18)+F28)</f>
        <v>0</v>
      </c>
      <c r="G30" s="81" t="str">
        <f>0.02*(MAX(G19,G18)+G28)</f>
        <v>0</v>
      </c>
      <c r="H30" s="81" t="str">
        <f>0.02*(MAX(H19,H18)+H28)</f>
        <v>0</v>
      </c>
      <c r="I30" s="81" t="str">
        <f>0.02*(MAX(I19,I18)+I28)</f>
        <v>0</v>
      </c>
      <c r="J30" s="81" t="str">
        <f>0.02*(MAX(J19,J18)+J28)</f>
        <v>0</v>
      </c>
      <c r="K30" s="81" t="str">
        <f>0.02*(MAX(K19,K18)+K28)</f>
        <v>0</v>
      </c>
      <c r="L30" s="81" t="str">
        <f>0.02*(MAX(L19,L18)+L28)</f>
        <v>0</v>
      </c>
      <c r="M30" s="81" t="str">
        <f>0.02*(MAX(M19,M18)+M28)</f>
        <v>0</v>
      </c>
      <c r="N30" s="81" t="str">
        <f>0.02*(MAX(N19,N18)+N28)</f>
        <v>0</v>
      </c>
      <c r="O30" s="81" t="str">
        <f>0.02*(MAX(O19,O18)+O28)</f>
        <v>0</v>
      </c>
      <c r="P30" s="81" t="str">
        <f>0.02*(MAX(P19,P18)+P28)</f>
        <v>0</v>
      </c>
      <c r="Q30" s="81" t="str">
        <f>0.02*(MAX(Q19,Q18)+Q28)</f>
        <v>0</v>
      </c>
      <c r="R30" s="81" t="str">
        <f>0.02*(MAX(R19,R18)+R28)</f>
        <v>0</v>
      </c>
      <c r="S30" s="81" t="str">
        <f>0.02*(MAX(S19,S18)+S28)</f>
        <v>0</v>
      </c>
      <c r="T30" s="81" t="str">
        <f>0.02*(MAX(T19,T18)+T28)</f>
        <v>0</v>
      </c>
      <c r="U30" s="81" t="str">
        <f>0.02*(MAX(U19,U18)+U28)</f>
        <v>0</v>
      </c>
      <c r="V30" s="81" t="str">
        <f>0.02*(MAX(V19,V18)+V28)</f>
        <v>0</v>
      </c>
      <c r="W30" s="81" t="str">
        <f>0.02*(MAX(W19,W18)+W28)</f>
        <v>0</v>
      </c>
      <c r="X30" s="81" t="str">
        <f>0.02*(MAX(X19,X18)+X28)</f>
        <v>0</v>
      </c>
      <c r="Y30" s="81" t="str">
        <f>0.02*(MAX(Y19,Y18)+Y28)</f>
        <v>0</v>
      </c>
      <c r="Z30" s="81" t="str">
        <f>0.02*(MAX(Z19,Z18)+Z28)</f>
        <v>0</v>
      </c>
      <c r="AA30" s="81" t="str">
        <f>0.02*(MAX(AA19,AA18)+AA28)</f>
        <v>0</v>
      </c>
      <c r="AB30" s="81" t="str">
        <f>SUM(C30:AA30)</f>
        <v>0</v>
      </c>
    </row>
    <row r="31" spans="1:32">
      <c r="B31" s="74" t="s">
        <v>130</v>
      </c>
      <c r="C31" s="81" t="str">
        <f>0.035*(MAX(C18,C19) +C28+C29+C30)</f>
        <v>0</v>
      </c>
      <c r="D31" s="81" t="str">
        <f>0.035*(MAX(D18,D19) +D28+D29+D30)</f>
        <v>0</v>
      </c>
      <c r="E31" s="81" t="str">
        <f>0.035*(MAX(E18,E19) +E28+E29+E30)</f>
        <v>0</v>
      </c>
      <c r="F31" s="81" t="str">
        <f>0.035*(MAX(F18,F19) +F28+F29+F30)</f>
        <v>0</v>
      </c>
      <c r="G31" s="81" t="str">
        <f>0.035*(MAX(G18,G19) +G28+G29+G30)</f>
        <v>0</v>
      </c>
      <c r="H31" s="81" t="str">
        <f>0.035*(MAX(H18,H19) +H28+H29+H30)</f>
        <v>0</v>
      </c>
      <c r="I31" s="81" t="str">
        <f>0.035*(MAX(I18,I19) +I28+I29+I30)</f>
        <v>0</v>
      </c>
      <c r="J31" s="81" t="str">
        <f>0.035*(MAX(J18,J19) +J28+J29+J30)</f>
        <v>0</v>
      </c>
      <c r="K31" s="81" t="str">
        <f>0.035*(MAX(K18,K19) +K28+K29+K30)</f>
        <v>0</v>
      </c>
      <c r="L31" s="81" t="str">
        <f>0.035*(MAX(L18,L19) +L28+L29+L30)</f>
        <v>0</v>
      </c>
      <c r="M31" s="81" t="str">
        <f>0.035*(MAX(M18,M19) +M28+M29+M30)</f>
        <v>0</v>
      </c>
      <c r="N31" s="81" t="str">
        <f>0.035*(MAX(N18,N19) +N28+N29+N30)</f>
        <v>0</v>
      </c>
      <c r="O31" s="81" t="str">
        <f>0.035*(MAX(O18,O19) +O28+O29+O30)</f>
        <v>0</v>
      </c>
      <c r="P31" s="81" t="str">
        <f>0.035*(MAX(P18,P19) +P28+P29+P30)</f>
        <v>0</v>
      </c>
      <c r="Q31" s="81" t="str">
        <f>0.035*(MAX(Q18,Q19) +Q28+Q29+Q30)</f>
        <v>0</v>
      </c>
      <c r="R31" s="81" t="str">
        <f>0.035*(MAX(R18,R19) +R28+R29+R30)</f>
        <v>0</v>
      </c>
      <c r="S31" s="81" t="str">
        <f>0.035*(MAX(S18,S19) +S28+S29+S30)</f>
        <v>0</v>
      </c>
      <c r="T31" s="81" t="str">
        <f>0.035*(MAX(T18,T19) +T28+T29+T30)</f>
        <v>0</v>
      </c>
      <c r="U31" s="81" t="str">
        <f>0.035*(MAX(U18,U19) +U28+U29+U30)</f>
        <v>0</v>
      </c>
      <c r="V31" s="81" t="str">
        <f>0.035*(MAX(V18,V19) +V28+V29+V30)</f>
        <v>0</v>
      </c>
      <c r="W31" s="81" t="str">
        <f>0.035*(MAX(W18,W19) +W28+W29+W30)</f>
        <v>0</v>
      </c>
      <c r="X31" s="81" t="str">
        <f>0.035*(MAX(X18,X19) +X28+X29+X30)</f>
        <v>0</v>
      </c>
      <c r="Y31" s="81" t="str">
        <f>0.035*(MAX(Y18,Y19) +Y28+Y29+Y30)</f>
        <v>0</v>
      </c>
      <c r="Z31" s="81" t="str">
        <f>0.035*(MAX(Z18,Z19) +Z28+Z29+Z30)</f>
        <v>0</v>
      </c>
      <c r="AA31" s="81" t="str">
        <f>0.035*(MAX(AA18,AA19) +AA28+AA29+AA30)</f>
        <v>0</v>
      </c>
      <c r="AB31" s="81" t="str">
        <f>SUM(C31:AA31)</f>
        <v>0</v>
      </c>
    </row>
    <row r="32" spans="1:32">
      <c r="B32" s="74" t="s">
        <v>37</v>
      </c>
      <c r="C32" s="81" t="str">
        <f>SUM(C28:C31)</f>
        <v>0</v>
      </c>
      <c r="D32" s="81" t="str">
        <f>SUM(D28:D31)</f>
        <v>0</v>
      </c>
      <c r="E32" s="81" t="str">
        <f>SUM(E28:E31)</f>
        <v>0</v>
      </c>
      <c r="F32" s="81" t="str">
        <f>SUM(F28:F31)</f>
        <v>0</v>
      </c>
      <c r="G32" s="81" t="str">
        <f>SUM(G28:G31)</f>
        <v>0</v>
      </c>
      <c r="H32" s="81" t="str">
        <f>SUM(H28:H31)</f>
        <v>0</v>
      </c>
      <c r="I32" s="81" t="str">
        <f>SUM(I28:I31)</f>
        <v>0</v>
      </c>
      <c r="J32" s="81" t="str">
        <f>SUM(J28:J31)</f>
        <v>0</v>
      </c>
      <c r="K32" s="81" t="str">
        <f>SUM(K28:K31)</f>
        <v>0</v>
      </c>
      <c r="L32" s="81" t="str">
        <f>SUM(L28:L31)</f>
        <v>0</v>
      </c>
      <c r="M32" s="81" t="str">
        <f>SUM(M28:M31)</f>
        <v>0</v>
      </c>
      <c r="N32" s="81" t="str">
        <f>SUM(N28:N31)</f>
        <v>0</v>
      </c>
      <c r="O32" s="81" t="str">
        <f>SUM(O28:O31)</f>
        <v>0</v>
      </c>
      <c r="P32" s="81" t="str">
        <f>SUM(P28:P31)</f>
        <v>0</v>
      </c>
      <c r="Q32" s="81" t="str">
        <f>SUM(Q28:Q31)</f>
        <v>0</v>
      </c>
      <c r="R32" s="81" t="str">
        <f>SUM(R28:R31)</f>
        <v>0</v>
      </c>
      <c r="S32" s="81" t="str">
        <f>SUM(S28:S31)</f>
        <v>0</v>
      </c>
      <c r="T32" s="81" t="str">
        <f>SUM(T28:T31)</f>
        <v>0</v>
      </c>
      <c r="U32" s="81" t="str">
        <f>SUM(U28:U31)</f>
        <v>0</v>
      </c>
      <c r="V32" s="81" t="str">
        <f>SUM(V28:V31)</f>
        <v>0</v>
      </c>
      <c r="W32" s="81" t="str">
        <f>SUM(W28:W31)</f>
        <v>0</v>
      </c>
      <c r="X32" s="81" t="str">
        <f>SUM(X28:X31)</f>
        <v>0</v>
      </c>
      <c r="Y32" s="81" t="str">
        <f>SUM(Y28:Y31)</f>
        <v>0</v>
      </c>
      <c r="Z32" s="81" t="str">
        <f>SUM(Z28:Z31)</f>
        <v>0</v>
      </c>
      <c r="AA32" s="81" t="str">
        <f>SUM(AA28:AA31)</f>
        <v>0</v>
      </c>
      <c r="AB32" s="81" t="str">
        <f>SUM(AB28:AB31)</f>
        <v>0</v>
      </c>
    </row>
    <row r="37" spans="1:32">
      <c r="B37" s="75" t="s">
        <v>131</v>
      </c>
      <c r="C37" s="74"/>
      <c r="D37" s="74"/>
      <c r="E37" s="74"/>
    </row>
    <row r="40" spans="1:32">
      <c r="B40" s="74" t="s">
        <v>132</v>
      </c>
      <c r="C40" s="81" t="str">
        <f>C13*AB40</f>
        <v>0</v>
      </c>
      <c r="D40" s="81" t="str">
        <f>D13*AB40</f>
        <v>0</v>
      </c>
      <c r="E40" s="81" t="str">
        <f>E13*AB40</f>
        <v>0</v>
      </c>
      <c r="F40" s="81" t="str">
        <f>F13*AB40</f>
        <v>0</v>
      </c>
      <c r="G40" s="81" t="str">
        <f>G13*AB40</f>
        <v>0</v>
      </c>
      <c r="H40" s="81" t="str">
        <f>H13*AB40</f>
        <v>0</v>
      </c>
      <c r="I40" s="81" t="str">
        <f>I13*AB40</f>
        <v>0</v>
      </c>
      <c r="J40" s="81" t="str">
        <f>J13*AB40</f>
        <v>0</v>
      </c>
      <c r="K40" s="81" t="str">
        <f>K13*AB40</f>
        <v>0</v>
      </c>
      <c r="L40" s="81" t="str">
        <f>L13*AB40</f>
        <v>0</v>
      </c>
      <c r="M40" s="81" t="str">
        <f>M13*AB40</f>
        <v>0</v>
      </c>
      <c r="N40" s="81" t="str">
        <f>N13*AB40</f>
        <v>0</v>
      </c>
      <c r="O40" s="81" t="str">
        <f>O13*AB40</f>
        <v>0</v>
      </c>
      <c r="P40" s="81" t="str">
        <f>P13*AB40</f>
        <v>0</v>
      </c>
      <c r="Q40" s="81" t="str">
        <f>Q13*AB40</f>
        <v>0</v>
      </c>
      <c r="R40" s="81" t="str">
        <f>R13*AB40</f>
        <v>0</v>
      </c>
      <c r="S40" s="81" t="str">
        <f>S13*AB40</f>
        <v>0</v>
      </c>
      <c r="T40" s="81" t="str">
        <f>T13*AB40</f>
        <v>0</v>
      </c>
      <c r="U40" s="81" t="str">
        <f>U13*AB40</f>
        <v>0</v>
      </c>
      <c r="V40" s="81" t="str">
        <f>V13*AB40</f>
        <v>0</v>
      </c>
      <c r="W40" s="81" t="str">
        <f>W13*AB40</f>
        <v>0</v>
      </c>
      <c r="X40" s="81" t="str">
        <f>X13*AB40</f>
        <v>0</v>
      </c>
      <c r="Y40" s="81" t="str">
        <f>Y13*AB40</f>
        <v>0</v>
      </c>
      <c r="Z40" s="81" t="str">
        <f>Z13*AB40</f>
        <v>0</v>
      </c>
      <c r="AA40" s="81" t="str">
        <f>AA13*AB40</f>
        <v>0</v>
      </c>
      <c r="AB40" s="81" t="str">
        <f>IF(AB7&lt;1, AF7*0.4,AF7*0.4*AB7)</f>
        <v>0</v>
      </c>
    </row>
    <row r="41" spans="1:32">
      <c r="B41"/>
    </row>
    <row r="43" spans="1:32">
      <c r="B43" s="74" t="s">
        <v>132</v>
      </c>
      <c r="C43" s="74" t="s">
        <v>50</v>
      </c>
      <c r="D43" s="74" t="s">
        <v>51</v>
      </c>
      <c r="E43" s="74" t="s">
        <v>52</v>
      </c>
      <c r="F43" s="74" t="s">
        <v>53</v>
      </c>
      <c r="G43" s="74" t="s">
        <v>54</v>
      </c>
      <c r="H43" s="74" t="s">
        <v>55</v>
      </c>
      <c r="I43" s="74" t="s">
        <v>56</v>
      </c>
      <c r="J43" s="74" t="s">
        <v>57</v>
      </c>
      <c r="K43" s="74" t="s">
        <v>58</v>
      </c>
      <c r="L43" s="74" t="s">
        <v>59</v>
      </c>
      <c r="M43" s="74" t="s">
        <v>60</v>
      </c>
      <c r="N43" s="74" t="s">
        <v>61</v>
      </c>
      <c r="O43" s="74" t="s">
        <v>62</v>
      </c>
      <c r="P43" s="74" t="s">
        <v>63</v>
      </c>
      <c r="Q43" s="74" t="s">
        <v>64</v>
      </c>
      <c r="R43" s="74" t="s">
        <v>65</v>
      </c>
      <c r="S43" s="74" t="s">
        <v>66</v>
      </c>
      <c r="T43" s="74" t="s">
        <v>67</v>
      </c>
      <c r="U43" s="74" t="s">
        <v>68</v>
      </c>
      <c r="V43" s="74" t="s">
        <v>69</v>
      </c>
      <c r="W43" s="74" t="s">
        <v>70</v>
      </c>
      <c r="X43" s="74" t="s">
        <v>71</v>
      </c>
      <c r="Y43" s="74" t="s">
        <v>72</v>
      </c>
      <c r="Z43" s="74" t="s">
        <v>73</v>
      </c>
      <c r="AA43" s="74" t="s">
        <v>74</v>
      </c>
      <c r="AB43" s="74" t="s">
        <v>111</v>
      </c>
    </row>
    <row r="44" spans="1:32">
      <c r="B44" s="74" t="s">
        <v>133</v>
      </c>
      <c r="C44" s="81" t="str">
        <f>SUM(C15,C40,C32,(C26))</f>
        <v>0</v>
      </c>
      <c r="D44" s="81" t="str">
        <f>SUM(D15,D40,D32,(D26))</f>
        <v>0</v>
      </c>
      <c r="E44" s="81" t="str">
        <f>SUM(E15,E40,E32,(E26))</f>
        <v>0</v>
      </c>
      <c r="F44" s="81" t="str">
        <f>SUM(F15,F40,F32,(F26))</f>
        <v>0</v>
      </c>
      <c r="G44" s="81" t="str">
        <f>SUM(G15,G40,G32,(G26))</f>
        <v>0</v>
      </c>
      <c r="H44" s="81" t="str">
        <f>SUM(H15,H40,H32,(H26))</f>
        <v>0</v>
      </c>
      <c r="I44" s="81" t="str">
        <f>SUM(I15,I40,I32,(I26))</f>
        <v>0</v>
      </c>
      <c r="J44" s="81" t="str">
        <f>SUM(J15,J40,J32,(J26))</f>
        <v>0</v>
      </c>
      <c r="K44" s="81" t="str">
        <f>SUM(K15,K40,K32,(K26))</f>
        <v>0</v>
      </c>
      <c r="L44" s="81" t="str">
        <f>SUM(L15,L40,L32,(L26))</f>
        <v>0</v>
      </c>
      <c r="M44" s="81" t="str">
        <f>SUM(M15,M40,M32,(M26))</f>
        <v>0</v>
      </c>
      <c r="N44" s="81" t="str">
        <f>SUM(N15,N40,N32,(N26))</f>
        <v>0</v>
      </c>
      <c r="O44" s="81" t="str">
        <f>SUM(O15,O40,O32,(O26))</f>
        <v>0</v>
      </c>
      <c r="P44" s="81" t="str">
        <f>SUM(P15,P40,P32,(P26))</f>
        <v>0</v>
      </c>
      <c r="Q44" s="81" t="str">
        <f>SUM(Q15,Q40,Q32,(Q26))</f>
        <v>0</v>
      </c>
      <c r="R44" s="81" t="str">
        <f>SUM(R15,R40,R32,(R26))</f>
        <v>0</v>
      </c>
      <c r="S44" s="81" t="str">
        <f>SUM(S15,S40,S32,(S26))</f>
        <v>0</v>
      </c>
      <c r="T44" s="81" t="str">
        <f>SUM(T15,T40,T32,(T26))</f>
        <v>0</v>
      </c>
      <c r="U44" s="81" t="str">
        <f>SUM(U15,U40,U32,(U26))</f>
        <v>0</v>
      </c>
      <c r="V44" s="81" t="str">
        <f>SUM(V15,V40,V32,(V26))</f>
        <v>0</v>
      </c>
      <c r="W44" s="81" t="str">
        <f>SUM(W15,W40,W32,(W26))</f>
        <v>0</v>
      </c>
      <c r="X44" s="81" t="str">
        <f>SUM(X15,X40,X32,(X26))</f>
        <v>0</v>
      </c>
      <c r="Y44" s="81" t="str">
        <f>SUM(Y15,Y40,Y32,(Y26))</f>
        <v>0</v>
      </c>
      <c r="Z44" s="81" t="str">
        <f>SUM(Z15,Z40,Z32,(Z26))</f>
        <v>0</v>
      </c>
      <c r="AA44" s="81" t="str">
        <f>SUM(AA15,AA40,AA32,(AA26))</f>
        <v>0</v>
      </c>
      <c r="AB44" s="81" t="str">
        <f>SUM(C44:AA44)</f>
        <v>0</v>
      </c>
    </row>
    <row r="45" spans="1:32">
      <c r="B45" s="74" t="s">
        <v>46</v>
      </c>
      <c r="C45" s="74">
        <v>65</v>
      </c>
      <c r="D45" s="74">
        <v>6</v>
      </c>
      <c r="E45" s="74">
        <v>1</v>
      </c>
      <c r="F45" s="74">
        <v>200</v>
      </c>
      <c r="G45" s="74">
        <v>200</v>
      </c>
      <c r="H45" s="74">
        <v>400</v>
      </c>
      <c r="I45" s="74">
        <v>240</v>
      </c>
      <c r="J45" s="74">
        <v>30</v>
      </c>
      <c r="K45" s="74">
        <v>300</v>
      </c>
      <c r="L45" s="74">
        <v>6</v>
      </c>
      <c r="M45" s="74">
        <v>60</v>
      </c>
      <c r="N45" s="74">
        <v>120</v>
      </c>
      <c r="O45" s="74">
        <v>90</v>
      </c>
      <c r="P45" s="74">
        <v>4</v>
      </c>
      <c r="Q45" s="74">
        <v>2</v>
      </c>
      <c r="R45" s="74">
        <v>6</v>
      </c>
      <c r="S45" s="74">
        <v>36</v>
      </c>
      <c r="T45" s="74">
        <v>700</v>
      </c>
      <c r="U45" s="74">
        <v>4</v>
      </c>
      <c r="V45" s="74">
        <v>10</v>
      </c>
      <c r="W45" s="74">
        <v>20</v>
      </c>
      <c r="X45" s="74">
        <v>9</v>
      </c>
      <c r="Y45" s="74">
        <v>80</v>
      </c>
      <c r="Z45" s="74">
        <v>320</v>
      </c>
      <c r="AA45" s="74">
        <v>240</v>
      </c>
      <c r="AB45" s="74"/>
    </row>
    <row r="46" spans="1:32">
      <c r="B46" s="74" t="s">
        <v>134</v>
      </c>
      <c r="C46" s="81" t="str">
        <f>SUM(C44/C45)</f>
        <v>0</v>
      </c>
      <c r="D46" s="81" t="str">
        <f>SUM(D44/D45)</f>
        <v>0</v>
      </c>
      <c r="E46" s="81" t="str">
        <f>SUM(E44/E45)</f>
        <v>0</v>
      </c>
      <c r="F46" s="81" t="str">
        <f>SUM(F44/F45)</f>
        <v>0</v>
      </c>
      <c r="G46" s="81" t="str">
        <f>SUM(G44/G45)</f>
        <v>0</v>
      </c>
      <c r="H46" s="81" t="str">
        <f>SUM(H44/H45)</f>
        <v>0</v>
      </c>
      <c r="I46" s="81" t="str">
        <f>SUM(I44/I45)</f>
        <v>0</v>
      </c>
      <c r="J46" s="81" t="str">
        <f>SUM(J44/J45)</f>
        <v>0</v>
      </c>
      <c r="K46" s="81" t="str">
        <f>SUM(K44/K45)</f>
        <v>0</v>
      </c>
      <c r="L46" s="81" t="str">
        <f>SUM(L44/L45)</f>
        <v>0</v>
      </c>
      <c r="M46" s="81" t="str">
        <f>SUM(M44/M45)</f>
        <v>0</v>
      </c>
      <c r="N46" s="81" t="str">
        <f>SUM(N44/N45)</f>
        <v>0</v>
      </c>
      <c r="O46" s="81" t="str">
        <f>SUM(O44/O45)</f>
        <v>0</v>
      </c>
      <c r="P46" s="81" t="str">
        <f>SUM(P44/P45)</f>
        <v>0</v>
      </c>
      <c r="Q46" s="81" t="str">
        <f>SUM(Q44/Q45)</f>
        <v>0</v>
      </c>
      <c r="R46" s="81" t="str">
        <f>SUM(R44/R45)</f>
        <v>0</v>
      </c>
      <c r="S46" s="81" t="str">
        <f>SUM(S44/S45)</f>
        <v>0</v>
      </c>
      <c r="T46" s="81" t="str">
        <f>SUM(T44/T45)</f>
        <v>0</v>
      </c>
      <c r="U46" s="81" t="str">
        <f>SUM(U44/U45)</f>
        <v>0</v>
      </c>
      <c r="V46" s="81" t="str">
        <f>SUM(V44/V45)</f>
        <v>0</v>
      </c>
      <c r="W46" s="81" t="str">
        <f>SUM(W44/W45)</f>
        <v>0</v>
      </c>
      <c r="X46" s="81" t="str">
        <f>SUM(X44/X45)</f>
        <v>0</v>
      </c>
      <c r="Y46" s="81" t="str">
        <f>SUM(Y44/Y45)</f>
        <v>0</v>
      </c>
      <c r="Z46" s="81" t="str">
        <f>SUM(Z44/Z45)</f>
        <v>0</v>
      </c>
      <c r="AA46" s="81" t="str">
        <f>SUM(AA44/AA45)</f>
        <v>0</v>
      </c>
      <c r="AB46" s="74"/>
    </row>
    <row r="47" spans="1:32">
      <c r="B47" s="74" t="s">
        <v>135</v>
      </c>
      <c r="C47" s="85" t="str">
        <f>C46*3.7</f>
        <v>0</v>
      </c>
      <c r="D47" s="85" t="str">
        <f>D46*3.7</f>
        <v>0</v>
      </c>
      <c r="E47" s="85" t="str">
        <f>E46*3.7</f>
        <v>0</v>
      </c>
      <c r="F47" s="85" t="str">
        <f>F46*3.7</f>
        <v>0</v>
      </c>
      <c r="G47" s="85" t="str">
        <f>G46*3.7</f>
        <v>0</v>
      </c>
      <c r="H47" s="85" t="str">
        <f>H46*3.7</f>
        <v>0</v>
      </c>
      <c r="I47" s="85" t="str">
        <f>I46*3.7</f>
        <v>0</v>
      </c>
      <c r="J47" s="85" t="str">
        <f>J46*3.7</f>
        <v>0</v>
      </c>
      <c r="K47" s="85" t="str">
        <f>K46*3.7</f>
        <v>0</v>
      </c>
      <c r="L47" s="85" t="str">
        <f>L46*3.7</f>
        <v>0</v>
      </c>
      <c r="M47" s="85" t="str">
        <f>M46*3.7</f>
        <v>0</v>
      </c>
      <c r="N47" s="85" t="str">
        <f>N46*3.7</f>
        <v>0</v>
      </c>
      <c r="O47" s="85" t="str">
        <f>O46*3.7</f>
        <v>0</v>
      </c>
      <c r="P47" s="85" t="str">
        <f>P46*3.7</f>
        <v>0</v>
      </c>
      <c r="Q47" s="85" t="str">
        <f>Q46*3.7</f>
        <v>0</v>
      </c>
      <c r="R47" s="85" t="str">
        <f>R46*3.7</f>
        <v>0</v>
      </c>
      <c r="S47" s="85" t="str">
        <f>S46*3.7</f>
        <v>0</v>
      </c>
      <c r="T47" s="85" t="str">
        <f>T46*3.7</f>
        <v>0</v>
      </c>
      <c r="U47" s="85" t="str">
        <f>U46*3.7</f>
        <v>0</v>
      </c>
      <c r="V47" s="85" t="str">
        <f>V46*3.7</f>
        <v>0</v>
      </c>
      <c r="W47" s="85" t="str">
        <f>W46*3.7</f>
        <v>0</v>
      </c>
      <c r="X47" s="85" t="str">
        <f>X46*3.7</f>
        <v>0</v>
      </c>
      <c r="Y47" s="85" t="str">
        <f>Y46*3.7</f>
        <v>0</v>
      </c>
      <c r="Z47" s="85" t="str">
        <f>Z46*3.7</f>
        <v>0</v>
      </c>
      <c r="AA47" s="85" t="str">
        <f>AA46*3.7</f>
        <v>0</v>
      </c>
      <c r="AB47" s="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2022-02-19T15:43:21-05:00</dcterms:created>
  <dcterms:modified xsi:type="dcterms:W3CDTF">2024-08-17T13:43:18-05:00</dcterms:modified>
  <dc:title/>
  <dc:description/>
  <dc:subject/>
  <cp:keywords/>
  <cp:category/>
</cp:coreProperties>
</file>