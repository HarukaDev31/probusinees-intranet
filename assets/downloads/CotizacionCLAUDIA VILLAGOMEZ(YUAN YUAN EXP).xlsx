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<sst xmlns="http://schemas.openxmlformats.org/spreadsheetml/2006/main" uniqueCount="116">
  <si>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</si>
  <si>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</si>
  <si>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</si>
  <si>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</si>
  <si>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CLAUDIA VILLAGOMEZ(YUAN YUAN EXP)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</si>
  <si>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</si>
  <si>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</si>
  <si>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</si>
  <si>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</si>
  <si>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</si>
  <si>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</si>
  <si>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</si>
  <si>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</si>
  <si>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</si>
  <si>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</si>
  <si>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</si>
  <si>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</si>
  <si>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</si>
  <si>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SOCIO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</si>
  <si>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</si>
  <si>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</si>
  <si>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</si>
  <si>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</si>
  <si>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</si>
  <si>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</si>
  <si>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</si>
  <si>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</si>
  <si>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</si>
  <si>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</si>
  <si>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</si>
  <si>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CLAUDIA VILLAGOMEZ(YUAN YUAN EXP) 😁 un gusto saludarte!
        A continuación te envío la cotización final de tu importación📋📦.
        🙋‍♂️ PAGO PENDIENTE :
        ☑️Costo CBM: $0
        ☑️Impuestos: $227.39
        ☑️ Total: $227.39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</si>
  <si>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</si>
  <si>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</si>
  <si>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</si>
  <si>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</si>
  <si>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</si>
  <si>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</si>
  <si>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</si>
  <si>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</si>
  <si>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</si>
  <si>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</si>
  <si>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</si>
  <si>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</si>
  <si>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</si>
  <si>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</si>
  <si>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</si>
  <si>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</si>
  <si>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</si>
  <si>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</si>
  <si>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ORGANIZADOR DE CABLES PARA ESCRITORIO</t>
  </si>
  <si>
    <t>ALFOMBRILLA PARA MOUSE</t>
  </si>
  <si>
    <t>SILLA GIRATORIA PARA OFICINA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</si>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</sst>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6" numFmtId="0" fillId="3" borderId="1" applyFont="1" applyNumberFormat="0" applyFill="1" applyBorder="1" applyAlignment="1">
      <alignment horizontal="center" vertical="bottom" textRotation="0" wrapText="false" shrinkToFit="false"/>
    </xf>
    <xf xfId="0" fontId="6" numFmtId="172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50.png"/><Relationship Id="rId2" Type="http://schemas.openxmlformats.org/officeDocument/2006/relationships/image" Target="../media/image151.png"/><Relationship Id="rId3" Type="http://schemas.openxmlformats.org/officeDocument/2006/relationships/image" Target="../media/image25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3"/>
    </row>
    <row r="5" spans="1:14">
      <c r="B5" s="45"/>
      <c r="C5" s="45"/>
      <c r="D5" s="43"/>
    </row>
    <row r="6" spans="1:14">
      <c r="B6" s="45"/>
      <c r="C6" s="45"/>
      <c r="D6" s="27"/>
      <c r="F6" s="27"/>
      <c r="G6" s="27"/>
      <c r="H6" s="27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8" t="s">
        <v>3</v>
      </c>
      <c r="C8" s="102" t="s">
        <v>4</v>
      </c>
      <c r="D8" s="41"/>
      <c r="E8" s="24" t="s">
        <v>5</v>
      </c>
      <c r="F8" s="52" t="s">
        <v>6</v>
      </c>
      <c r="G8" s="53"/>
      <c r="H8" s="40"/>
      <c r="I8" s="1" t="s">
        <v>7</v>
      </c>
      <c r="J8" s="69" t="str">
        <f>+'2'!F7</f>
        <v>0</v>
      </c>
      <c r="K8" s="69"/>
      <c r="L8" s="69"/>
    </row>
    <row r="9" spans="1:14">
      <c r="B9" s="8" t="s">
        <v>8</v>
      </c>
      <c r="C9" s="17"/>
      <c r="D9" s="41"/>
      <c r="E9" s="25" t="s">
        <v>9</v>
      </c>
      <c r="F9" s="48" t="str">
        <f>+TODAY()</f>
        <v>0</v>
      </c>
      <c r="G9" s="49"/>
      <c r="H9" s="40"/>
      <c r="I9" s="1" t="s">
        <v>10</v>
      </c>
      <c r="J9" s="101" t="s">
        <v>11</v>
      </c>
      <c r="K9" s="46"/>
      <c r="L9" s="46"/>
    </row>
    <row r="10" spans="1:14">
      <c r="B10" s="8" t="s">
        <v>12</v>
      </c>
      <c r="C10" s="17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0"/>
      <c r="K10" s="101"/>
      <c r="L10" s="70"/>
    </row>
    <row r="11" spans="1:14">
      <c r="B11" s="8" t="s">
        <v>16</v>
      </c>
      <c r="C11" s="18"/>
      <c r="D11" s="42"/>
      <c r="E11" s="26" t="s">
        <v>17</v>
      </c>
      <c r="F11" s="55" t="s">
        <v>18</v>
      </c>
      <c r="G11" s="72"/>
      <c r="H11" s="40"/>
      <c r="I11" s="1" t="s">
        <v>19</v>
      </c>
      <c r="J11" s="100" t="str">
        <f>'2'!F7</f>
        <v>0</v>
      </c>
      <c r="K11" s="80"/>
      <c r="L11" s="80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3" t="s">
        <v>20</v>
      </c>
      <c r="C13" s="73"/>
      <c r="D13" s="73"/>
      <c r="E13" s="73"/>
      <c r="F13" s="73"/>
      <c r="G13" s="73"/>
      <c r="H13" s="73"/>
      <c r="I13" s="73"/>
      <c r="J13" s="73"/>
      <c r="K13" s="10" t="s">
        <v>21</v>
      </c>
      <c r="L13" s="10" t="s">
        <v>22</v>
      </c>
    </row>
    <row r="14" spans="1:14">
      <c r="B14" s="74" t="s">
        <v>23</v>
      </c>
      <c r="C14" s="74"/>
      <c r="D14" s="74"/>
      <c r="E14" s="74"/>
      <c r="F14" s="74"/>
      <c r="G14" s="74"/>
      <c r="H14" s="74"/>
      <c r="I14" s="74"/>
      <c r="J14" s="74"/>
      <c r="K14" s="15" t="str">
        <f>'2'!F11</f>
        <v>0</v>
      </c>
      <c r="L14" s="9" t="s">
        <v>24</v>
      </c>
    </row>
    <row r="15" spans="1:14">
      <c r="B15" s="75" t="s">
        <v>25</v>
      </c>
      <c r="C15" s="75"/>
      <c r="D15" s="75"/>
      <c r="E15" s="75"/>
      <c r="F15" s="75"/>
      <c r="G15" s="75"/>
      <c r="H15" s="75"/>
      <c r="I15" s="75"/>
      <c r="J15" s="75"/>
      <c r="K15" s="16" t="str">
        <f>'2'!F14 + '2'!F17</f>
        <v>0</v>
      </c>
      <c r="L15" s="12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5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6" t="s">
        <v>27</v>
      </c>
      <c r="C19" s="76"/>
      <c r="D19" s="76"/>
      <c r="E19" s="76"/>
      <c r="F19" s="76"/>
      <c r="G19" s="19"/>
      <c r="H19" s="19"/>
      <c r="I19" s="19"/>
      <c r="J19" s="10" t="s">
        <v>28</v>
      </c>
      <c r="K19" s="10" t="s">
        <v>21</v>
      </c>
      <c r="L19" s="10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21" t="str">
        <f>MAX('2'!C27:E27)</f>
        <v>0</v>
      </c>
      <c r="K20" s="15" t="str">
        <f>'2'!F28</f>
        <v>0</v>
      </c>
      <c r="L20" s="9" t="s">
        <v>24</v>
      </c>
      <c r="N20" t="s">
        <v>30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21">
        <v>0.16</v>
      </c>
      <c r="K21" s="15" t="str">
        <f>'2'!F29</f>
        <v>0</v>
      </c>
      <c r="L21" s="9" t="s">
        <v>24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21">
        <v>0.02</v>
      </c>
      <c r="K22" s="15" t="str">
        <f>'2'!F30</f>
        <v>0</v>
      </c>
      <c r="L22" s="9" t="s">
        <v>24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 t="str">
        <f>SUM(K20:K22)</f>
        <v>0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11"/>
      <c r="L24" s="9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2" t="s">
        <v>35</v>
      </c>
      <c r="K25" s="16" t="str">
        <f>'2'!F31</f>
        <v>0</v>
      </c>
      <c r="L25" s="12" t="s">
        <v>24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5" t="str">
        <f>K23+K25</f>
        <v>0</v>
      </c>
      <c r="L26" s="9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5" t="str">
        <f>K14</f>
        <v>0</v>
      </c>
      <c r="L29" s="9" t="s">
        <v>24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5" t="str">
        <f>IF('2'!J7&lt;1, '2'!J7*J11, '2'!J7*J11)</f>
        <v>0</v>
      </c>
      <c r="L30" s="9" t="s">
        <v>24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6" t="str">
        <f>K26</f>
        <v>0</v>
      </c>
      <c r="L31" s="12" t="s">
        <v>24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5" t="str">
        <f>SUM(K29:K31)</f>
        <v>0</v>
      </c>
      <c r="L32" s="9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6" t="s">
        <v>42</v>
      </c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4">
      <c r="B35" s="20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8" t="s">
        <v>36</v>
      </c>
      <c r="K35" s="54" t="s">
        <v>48</v>
      </c>
      <c r="L35" s="54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5" t="str">
        <f>'2'!C8</f>
        <v>0</v>
      </c>
      <c r="H36" s="6"/>
      <c r="I36" s="95" t="str">
        <f>'2'!C46</f>
        <v>0</v>
      </c>
      <c r="J36" s="95" t="str">
        <f>'2'!C44</f>
        <v>0</v>
      </c>
      <c r="K36" s="96" t="str">
        <f>'2'!C47</f>
        <v>0</v>
      </c>
      <c r="L36" s="54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5" t="str">
        <f>'2'!D8</f>
        <v>0</v>
      </c>
      <c r="H37" s="6"/>
      <c r="I37" s="95" t="str">
        <f>'2'!D46</f>
        <v>0</v>
      </c>
      <c r="J37" s="95" t="str">
        <f>'2'!D44</f>
        <v>0</v>
      </c>
      <c r="K37" s="96" t="str">
        <f>'2'!D47</f>
        <v>0</v>
      </c>
      <c r="L37" s="54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5" t="str">
        <f>'2'!E8</f>
        <v>0</v>
      </c>
      <c r="H38" s="6"/>
      <c r="I38" s="95" t="str">
        <f>'2'!E46</f>
        <v>0</v>
      </c>
      <c r="J38" s="95" t="str">
        <f>'2'!E44</f>
        <v>0</v>
      </c>
      <c r="K38" s="96" t="str">
        <f>'2'!E47</f>
        <v>0</v>
      </c>
      <c r="L38" s="54"/>
      <c r="M38" s="1"/>
    </row>
    <row r="39" spans="1:14" customHeight="1" ht="15.6">
      <c r="B39" s="98" t="s">
        <v>36</v>
      </c>
      <c r="C39" s="4"/>
      <c r="D39" s="4"/>
      <c r="E39" s="4"/>
      <c r="F39" s="5" t="str">
        <f>SUM(F36:F38)</f>
        <v>0</v>
      </c>
      <c r="G39" s="2"/>
      <c r="H39" s="2"/>
      <c r="I39" s="1"/>
      <c r="J39" s="99" t="str">
        <f>SUM(J36:J38)</f>
        <v>0</v>
      </c>
      <c r="K39" s="97"/>
      <c r="L39" s="36"/>
      <c r="M39" s="1"/>
    </row>
    <row r="40" spans="1:14" customHeight="1" ht="15.6">
      <c r="B40" s="23"/>
      <c r="C40" s="2"/>
      <c r="D40" s="2"/>
      <c r="E40" s="2"/>
      <c r="F40" s="14"/>
      <c r="G40" s="2"/>
      <c r="H40" s="2"/>
      <c r="J40" s="32"/>
      <c r="K40" s="35"/>
      <c r="L40" s="36"/>
    </row>
    <row r="41" spans="1:14">
      <c r="B41" s="7"/>
      <c r="C41" s="7"/>
      <c r="D41" s="7"/>
      <c r="E41" s="7"/>
      <c r="F41" s="7"/>
      <c r="G41" s="7"/>
      <c r="H41" s="7"/>
      <c r="I41" s="7"/>
      <c r="J41" s="7"/>
      <c r="K41" s="37"/>
      <c r="L41" s="38"/>
    </row>
    <row r="42" spans="1:14" customHeight="1" ht="18">
      <c r="B42" s="31" t="s">
        <v>52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71" t="s">
        <v>53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</row>
    <row r="44" spans="1:14" customHeight="1" ht="18">
      <c r="B44" s="71" t="s">
        <v>54</v>
      </c>
      <c r="C44" s="71"/>
      <c r="D44" s="71"/>
      <c r="E44" s="71"/>
      <c r="F44" s="71"/>
      <c r="G44" s="71"/>
      <c r="H44" s="71"/>
      <c r="I44" s="71"/>
      <c r="J44" s="71"/>
      <c r="K44" s="71"/>
      <c r="L44" s="71"/>
    </row>
    <row r="45" spans="1:14" customHeight="1" ht="18">
      <c r="B45" s="71" t="s">
        <v>55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</row>
    <row r="46" spans="1:14" customHeight="1" ht="18">
      <c r="B46" s="71" t="s">
        <v>56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 spans="1:14" customHeight="1" ht="18">
      <c r="B47" s="71" t="s">
        <v>57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58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7" t="s">
        <v>59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</row>
    <row r="56" spans="1:14">
      <c r="B56" s="78" t="s">
        <v>60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</row>
    <row r="57" spans="1:14">
      <c r="B57" s="78" t="s">
        <v>61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</row>
    <row r="58" spans="1:14">
      <c r="B58" s="56" t="s">
        <v>62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78" t="s">
        <v>63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</row>
    <row r="60" spans="1:14">
      <c r="B60" s="78" t="s">
        <v>64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</row>
    <row r="61" spans="1:14">
      <c r="B61" s="56" t="s">
        <v>65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78" t="s">
        <v>66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</row>
    <row r="63" spans="1:14">
      <c r="B63" s="78" t="s">
        <v>67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</row>
    <row r="64" spans="1:14">
      <c r="B64" s="78" t="s">
        <v>68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</row>
    <row r="65" spans="1:14">
      <c r="B65" s="78" t="s">
        <v>69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</row>
    <row r="66" spans="1:14">
      <c r="B66" s="78" t="s">
        <v>70</v>
      </c>
      <c r="C66" s="78"/>
      <c r="D66" s="78"/>
      <c r="E66" s="78"/>
      <c r="F66" s="78"/>
      <c r="G66" s="78"/>
      <c r="H66" s="78"/>
      <c r="I66" s="78"/>
      <c r="J66" s="78"/>
      <c r="K66" s="78"/>
      <c r="L66" s="78"/>
    </row>
    <row r="67" spans="1:14">
      <c r="B67" s="78" t="s">
        <v>71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</row>
    <row r="68" spans="1:14">
      <c r="B68" s="78" t="s">
        <v>72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</row>
    <row r="69" spans="1:14">
      <c r="B69" s="78" t="s">
        <v>73</v>
      </c>
      <c r="C69" s="78"/>
      <c r="D69" s="78"/>
      <c r="E69" s="78"/>
      <c r="F69" s="78"/>
      <c r="G69" s="78"/>
      <c r="H69" s="78"/>
      <c r="I69" s="78"/>
      <c r="J69" s="78"/>
      <c r="K69" s="78"/>
      <c r="L69" s="78"/>
    </row>
    <row r="70" spans="1:14">
      <c r="B70" s="78" t="s">
        <v>74</v>
      </c>
      <c r="C70" s="78"/>
      <c r="D70" s="78"/>
      <c r="E70" s="78"/>
      <c r="F70" s="78"/>
      <c r="G70" s="78"/>
      <c r="H70" s="78"/>
      <c r="I70" s="78"/>
      <c r="J70" s="78"/>
      <c r="K70" s="78"/>
      <c r="L70" s="78"/>
    </row>
    <row r="71" spans="1:14">
      <c r="B71" s="78" t="s">
        <v>75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</row>
    <row r="72" spans="1:14">
      <c r="B72" s="78" t="s">
        <v>76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</row>
    <row r="73" spans="1:14">
      <c r="B73" s="74" t="s">
        <v>77</v>
      </c>
      <c r="C73" s="74"/>
      <c r="D73" s="74"/>
      <c r="E73" s="74"/>
      <c r="F73" s="74"/>
      <c r="G73" s="74"/>
      <c r="H73" s="74"/>
      <c r="I73" s="74"/>
      <c r="J73" s="74"/>
      <c r="K73" s="74"/>
      <c r="L73" s="74"/>
    </row>
    <row r="74" spans="1:14">
      <c r="B74" s="78" t="s">
        <v>78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</row>
    <row r="75" spans="1:14">
      <c r="B75" s="74" t="s">
        <v>79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</row>
    <row r="76" spans="1:14">
      <c r="B76" s="78" t="s">
        <v>80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</row>
    <row r="77" spans="1:14">
      <c r="B77" s="78" t="s">
        <v>81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</row>
    <row r="78" spans="1:14">
      <c r="B78" s="78" t="s">
        <v>82</v>
      </c>
      <c r="C78" s="78"/>
      <c r="D78" s="78"/>
      <c r="E78" s="78"/>
      <c r="F78" s="78"/>
      <c r="G78" s="78"/>
      <c r="H78" s="78"/>
      <c r="I78" s="78"/>
      <c r="J78" s="78"/>
      <c r="K78" s="78"/>
      <c r="L78" s="78"/>
    </row>
    <row r="79" spans="1:14">
      <c r="B79" s="78" t="s">
        <v>83</v>
      </c>
      <c r="C79" s="78"/>
      <c r="D79" s="78"/>
      <c r="E79" s="78"/>
      <c r="F79" s="78"/>
      <c r="G79" s="78"/>
      <c r="H79" s="78"/>
      <c r="I79" s="78"/>
      <c r="J79" s="78"/>
      <c r="K79" s="78"/>
      <c r="L79" s="78"/>
    </row>
    <row r="80" spans="1:14">
      <c r="B80" s="78" t="s">
        <v>84</v>
      </c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4">
      <c r="A81" s="39"/>
      <c r="B81" s="79" t="s">
        <v>85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</row>
    <row r="82" spans="1:14">
      <c r="A82" s="39"/>
      <c r="B82" s="78" t="s">
        <v>86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spans="1:14">
      <c r="A83" s="39"/>
      <c r="B83" s="79" t="s">
        <v>87</v>
      </c>
      <c r="C83" s="79"/>
      <c r="D83" s="79"/>
      <c r="E83" s="79"/>
      <c r="F83" s="79"/>
      <c r="G83" s="79"/>
      <c r="H83" s="79"/>
      <c r="I83" s="79"/>
      <c r="J83" s="79"/>
      <c r="K83" s="79"/>
      <c r="L83" s="79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9:E39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7"/>
  <sheetViews>
    <sheetView tabSelected="0" workbookViewId="0" showGridLines="true" showRowColHeaders="1">
      <selection activeCell="F44" sqref="F44"/>
    </sheetView>
  </sheetViews>
  <sheetFormatPr defaultRowHeight="14.4" outlineLevelRow="0" outlineLevelCol="0"/>
  <cols>
    <col min="2" max="2" width="24.708252" bestFit="true" customWidth="true" style="0"/>
    <col min="3" max="3" width="44.703369" bestFit="true" customWidth="true" style="0"/>
    <col min="4" max="4" width="26.993408" bestFit="true" customWidth="true" style="0"/>
    <col min="5" max="5" width="34.134521" bestFit="true" customWidth="true" style="0"/>
    <col min="6" max="6" width="12.854004" bestFit="true" customWidth="true" style="0"/>
  </cols>
  <sheetData>
    <row r="3" spans="1:10">
      <c r="B3" s="82" t="s">
        <v>88</v>
      </c>
      <c r="C3" s="81"/>
      <c r="D3" s="81"/>
      <c r="E3" s="81"/>
      <c r="F3" s="81"/>
      <c r="G3" s="81"/>
    </row>
    <row r="5" spans="1:10">
      <c r="B5" s="85" t="s">
        <v>89</v>
      </c>
      <c r="C5" s="87" t="s">
        <v>49</v>
      </c>
      <c r="D5" s="87" t="s">
        <v>50</v>
      </c>
      <c r="E5" s="87" t="s">
        <v>51</v>
      </c>
      <c r="F5" s="87" t="s">
        <v>90</v>
      </c>
    </row>
    <row r="6" spans="1:10">
      <c r="B6" s="81" t="s">
        <v>91</v>
      </c>
      <c r="C6" s="81">
        <v>0</v>
      </c>
      <c r="D6" s="81">
        <v>0</v>
      </c>
      <c r="E6" s="81">
        <v>0</v>
      </c>
      <c r="F6" s="89">
        <v>0</v>
      </c>
      <c r="I6" s="83" t="s">
        <v>92</v>
      </c>
      <c r="J6" s="83" t="s">
        <v>93</v>
      </c>
    </row>
    <row r="7" spans="1:10">
      <c r="B7" s="81" t="s">
        <v>94</v>
      </c>
      <c r="C7" s="81">
        <v>0</v>
      </c>
      <c r="D7" s="81">
        <v>0</v>
      </c>
      <c r="E7" s="81">
        <v>0</v>
      </c>
      <c r="F7" s="90"/>
      <c r="I7" s="84" t="s">
        <v>18</v>
      </c>
      <c r="J7" s="84"/>
    </row>
    <row r="8" spans="1:10">
      <c r="B8" s="81" t="s">
        <v>95</v>
      </c>
      <c r="C8" s="88">
        <v>1.97</v>
      </c>
      <c r="D8" s="88">
        <v>1.86</v>
      </c>
      <c r="E8" s="88">
        <v>15</v>
      </c>
      <c r="F8" s="81"/>
    </row>
    <row r="9" spans="1:10">
      <c r="B9" s="86" t="s">
        <v>96</v>
      </c>
      <c r="C9" s="88">
        <v>0</v>
      </c>
      <c r="D9" s="88">
        <v>0</v>
      </c>
      <c r="E9" s="88">
        <v>0</v>
      </c>
      <c r="F9" s="81"/>
    </row>
    <row r="10" spans="1:10">
      <c r="B10" s="81" t="s">
        <v>97</v>
      </c>
      <c r="C10" s="81">
        <v>50</v>
      </c>
      <c r="D10" s="81">
        <v>150</v>
      </c>
      <c r="E10" s="81">
        <v>40</v>
      </c>
      <c r="F10" s="81" t="str">
        <f>SUM(C10:E10)</f>
        <v>0</v>
      </c>
    </row>
    <row r="11" spans="1:10">
      <c r="B11" s="81" t="s">
        <v>98</v>
      </c>
      <c r="C11" s="88" t="str">
        <f>C8*C10</f>
        <v>0</v>
      </c>
      <c r="D11" s="88" t="str">
        <f>D8*D10</f>
        <v>0</v>
      </c>
      <c r="E11" s="88" t="str">
        <f>E8*E10</f>
        <v>0</v>
      </c>
      <c r="F11" s="93" t="str">
        <f>SUM(C11:E11)</f>
        <v>0</v>
      </c>
    </row>
    <row r="12" spans="1:10">
      <c r="B12" s="86" t="s">
        <v>99</v>
      </c>
      <c r="C12" s="88" t="str">
        <f>C10*C9</f>
        <v>0</v>
      </c>
      <c r="D12" s="88" t="str">
        <f>D10*D9</f>
        <v>0</v>
      </c>
      <c r="E12" s="88" t="str">
        <f>E10*E9</f>
        <v>0</v>
      </c>
      <c r="F12" s="93" t="str">
        <f>SUM(C12:E12)</f>
        <v>0</v>
      </c>
    </row>
    <row r="13" spans="1:10">
      <c r="B13" s="81" t="s">
        <v>100</v>
      </c>
      <c r="C13" s="91" t="str">
        <f>C11/F11</f>
        <v>0</v>
      </c>
      <c r="D13" s="91" t="str">
        <f>D11/F11</f>
        <v>0</v>
      </c>
      <c r="E13" s="91" t="str">
        <f>E11/F11</f>
        <v>0</v>
      </c>
      <c r="F13" s="81"/>
    </row>
    <row r="14" spans="1:10">
      <c r="B14" s="81" t="s">
        <v>101</v>
      </c>
      <c r="C14" s="88" t="str">
        <f>ROUNDUP(F14*C13,2)</f>
        <v>0</v>
      </c>
      <c r="D14" s="88" t="str">
        <f>ROUNDUP(F14*D13,2)</f>
        <v>0</v>
      </c>
      <c r="E14" s="88" t="str">
        <f>ROUNDUP(F14*E13,2)</f>
        <v>0</v>
      </c>
      <c r="F14" s="93" t="str">
        <f>IF(F7&lt;1, ROUNDUP(J7*0.6, 0), ROUNDUP(J7*0.6*F7, 0))</f>
        <v>0</v>
      </c>
    </row>
    <row r="15" spans="1:10">
      <c r="B15" s="81" t="s">
        <v>102</v>
      </c>
      <c r="C15" s="88" t="str">
        <f>ROUNDUP(C11+C14,2)</f>
        <v>0</v>
      </c>
      <c r="D15" s="88" t="str">
        <f>ROUNDUP(D11+D14,2)</f>
        <v>0</v>
      </c>
      <c r="E15" s="88" t="str">
        <f>ROUNDUP(E11+E14,2)</f>
        <v>0</v>
      </c>
      <c r="F15" s="93" t="str">
        <f>SUM(C15:E15)</f>
        <v>0</v>
      </c>
    </row>
    <row r="16" spans="1:10">
      <c r="B16" s="86" t="s">
        <v>103</v>
      </c>
      <c r="C16" s="88" t="str">
        <f>ROUNDUP(C12+C14,2)</f>
        <v>0</v>
      </c>
      <c r="D16" s="88" t="str">
        <f>ROUNDUP(D12+D14,2)</f>
        <v>0</v>
      </c>
      <c r="E16" s="88" t="str">
        <f>ROUNDUP(E12+E14,2)</f>
        <v>0</v>
      </c>
      <c r="F16" s="93" t="str">
        <f>SUM(C16:E16)</f>
        <v>0</v>
      </c>
    </row>
    <row r="17" spans="1:10">
      <c r="B17" s="81" t="s">
        <v>104</v>
      </c>
      <c r="C17" s="88" t="str">
        <f>IF(F15&gt;5000,ROUND(100*C13,2),ROUND(50*C13,2))</f>
        <v>0</v>
      </c>
      <c r="D17" s="88" t="str">
        <f>IF(F15&gt;5000,ROUND(100*D13,2),ROUND(50*D13,2))</f>
        <v>0</v>
      </c>
      <c r="E17" s="88" t="str">
        <f>IF(F15&gt;5000,ROUND(100*E13,2),ROUND(50*E13,2))</f>
        <v>0</v>
      </c>
      <c r="F17" s="93" t="str">
        <f>SUM(C17:E17)</f>
        <v>0</v>
      </c>
    </row>
    <row r="18" spans="1:10">
      <c r="B18" s="81" t="s">
        <v>105</v>
      </c>
      <c r="C18" s="88" t="str">
        <f>ROUNDUP(C15+C17,2)</f>
        <v>0</v>
      </c>
      <c r="D18" s="88" t="str">
        <f>ROUNDUP(D15+D17,2)</f>
        <v>0</v>
      </c>
      <c r="E18" s="88" t="str">
        <f>ROUNDUP(E15+E17,2)</f>
        <v>0</v>
      </c>
      <c r="F18" s="93" t="str">
        <f>SUM(C18:E18)</f>
        <v>0</v>
      </c>
    </row>
    <row r="19" spans="1:10">
      <c r="B19" s="86" t="s">
        <v>106</v>
      </c>
      <c r="C19" s="88" t="str">
        <f>ROUNDUP(C16+C17,2)</f>
        <v>0</v>
      </c>
      <c r="D19" s="88" t="str">
        <f>ROUNDUP(D16+D17,2)</f>
        <v>0</v>
      </c>
      <c r="E19" s="88" t="str">
        <f>ROUNDUP(E16+E17,2)</f>
        <v>0</v>
      </c>
      <c r="F19" s="93" t="str">
        <f>SUM(C19:E19)</f>
        <v>0</v>
      </c>
    </row>
    <row r="23" spans="1:10">
      <c r="B23" s="82" t="s">
        <v>107</v>
      </c>
      <c r="C23" s="81"/>
      <c r="D23" s="81"/>
      <c r="E23" s="81"/>
    </row>
    <row r="26" spans="1:10">
      <c r="B26" s="81" t="s">
        <v>108</v>
      </c>
      <c r="C26" s="88">
        <v>0</v>
      </c>
      <c r="D26" s="88">
        <v>0</v>
      </c>
      <c r="E26" s="88">
        <v>0</v>
      </c>
      <c r="F26" s="88" t="str">
        <f>SUM(C26:E26)</f>
        <v>0</v>
      </c>
    </row>
    <row r="27" spans="1:10">
      <c r="C27" s="94">
        <v>0</v>
      </c>
      <c r="D27" s="94">
        <v>0</v>
      </c>
      <c r="E27" s="94">
        <v>0</v>
      </c>
      <c r="F27" s="91" t="str">
        <f>SUM(C27:E27)</f>
        <v>0</v>
      </c>
    </row>
    <row r="28" spans="1:10">
      <c r="B28" s="81" t="s">
        <v>109</v>
      </c>
      <c r="C28" s="88" t="str">
        <f>MAX(C19,C18)*C27</f>
        <v>0</v>
      </c>
      <c r="D28" s="88" t="str">
        <f>MAX(D19,D18)*D27</f>
        <v>0</v>
      </c>
      <c r="E28" s="88" t="str">
        <f>MAX(E19,E18)*E27</f>
        <v>0</v>
      </c>
      <c r="F28" s="88" t="str">
        <f>SUM(C28:E28)</f>
        <v>0</v>
      </c>
    </row>
    <row r="29" spans="1:10">
      <c r="B29" s="81" t="s">
        <v>31</v>
      </c>
      <c r="C29" s="88" t="str">
        <f>0.16*(MAX(C19,C18)+C28)</f>
        <v>0</v>
      </c>
      <c r="D29" s="88" t="str">
        <f>0.16*(MAX(D19,D18)+D28)</f>
        <v>0</v>
      </c>
      <c r="E29" s="88" t="str">
        <f>0.16*(MAX(E19,E18)+E28)</f>
        <v>0</v>
      </c>
      <c r="F29" s="88" t="str">
        <f>SUM(C29:E29)</f>
        <v>0</v>
      </c>
    </row>
    <row r="30" spans="1:10">
      <c r="B30" s="81" t="s">
        <v>32</v>
      </c>
      <c r="C30" s="88" t="str">
        <f>0.02*(MAX(C19,C18)+C28)</f>
        <v>0</v>
      </c>
      <c r="D30" s="88" t="str">
        <f>0.02*(MAX(D19,D18)+D28)</f>
        <v>0</v>
      </c>
      <c r="E30" s="88" t="str">
        <f>0.02*(MAX(E19,E18)+E28)</f>
        <v>0</v>
      </c>
      <c r="F30" s="88" t="str">
        <f>SUM(C30:E30)</f>
        <v>0</v>
      </c>
    </row>
    <row r="31" spans="1:10">
      <c r="B31" s="81" t="s">
        <v>110</v>
      </c>
      <c r="C31" s="88" t="str">
        <f>0.035*(MAX(C18,C19) +C28+C29+C30)</f>
        <v>0</v>
      </c>
      <c r="D31" s="88" t="str">
        <f>0.035*(MAX(D18,D19) +D28+D29+D30)</f>
        <v>0</v>
      </c>
      <c r="E31" s="88" t="str">
        <f>0.035*(MAX(E18,E19) +E28+E29+E30)</f>
        <v>0</v>
      </c>
      <c r="F31" s="88" t="str">
        <f>SUM(C31:E31)</f>
        <v>0</v>
      </c>
    </row>
    <row r="32" spans="1:10">
      <c r="B32" s="81" t="s">
        <v>36</v>
      </c>
      <c r="C32" s="88" t="str">
        <f>SUM(C28:C31)</f>
        <v>0</v>
      </c>
      <c r="D32" s="88" t="str">
        <f>SUM(D28:D31)</f>
        <v>0</v>
      </c>
      <c r="E32" s="88" t="str">
        <f>SUM(E28:E31)</f>
        <v>0</v>
      </c>
      <c r="F32" s="88" t="str">
        <f>SUM(F28:F31)</f>
        <v>0</v>
      </c>
    </row>
    <row r="37" spans="1:10">
      <c r="B37" s="82" t="s">
        <v>111</v>
      </c>
      <c r="C37" s="81"/>
      <c r="D37" s="81"/>
      <c r="E37" s="81"/>
    </row>
    <row r="40" spans="1:10">
      <c r="B40" s="81" t="s">
        <v>112</v>
      </c>
      <c r="C40" s="88" t="str">
        <f>C13*F40</f>
        <v>0</v>
      </c>
      <c r="D40" s="88" t="str">
        <f>D13*F40</f>
        <v>0</v>
      </c>
      <c r="E40" s="88" t="str">
        <f>E13*F40</f>
        <v>0</v>
      </c>
      <c r="F40" s="88" t="str">
        <f>IF(F7&lt;1, ROUNDUP(J7*0.4, 0), ROUNDUP(J7*0.4*F7, 0))</f>
        <v>0</v>
      </c>
    </row>
    <row r="41" spans="1:10">
      <c r="B41"/>
    </row>
    <row r="43" spans="1:10">
      <c r="B43" s="81" t="s">
        <v>112</v>
      </c>
      <c r="C43" s="81" t="s">
        <v>49</v>
      </c>
      <c r="D43" s="81" t="s">
        <v>50</v>
      </c>
      <c r="E43" s="81" t="s">
        <v>51</v>
      </c>
      <c r="F43" s="81" t="s">
        <v>90</v>
      </c>
    </row>
    <row r="44" spans="1:10">
      <c r="B44" s="81" t="s">
        <v>113</v>
      </c>
      <c r="C44" s="88" t="str">
        <f>SUM(C15,C40,C32,(C26*C10))</f>
        <v>0</v>
      </c>
      <c r="D44" s="88" t="str">
        <f>SUM(D15,D40,D32,(D26*D10))</f>
        <v>0</v>
      </c>
      <c r="E44" s="88" t="str">
        <f>SUM(E15,E40,E32,(E26*E10))</f>
        <v>0</v>
      </c>
      <c r="F44" s="88" t="str">
        <f>SUM(C44:E44)</f>
        <v>0</v>
      </c>
    </row>
    <row r="45" spans="1:10">
      <c r="B45" s="81" t="s">
        <v>45</v>
      </c>
      <c r="C45" s="81">
        <v>50</v>
      </c>
      <c r="D45" s="81">
        <v>150</v>
      </c>
      <c r="E45" s="81">
        <v>40</v>
      </c>
      <c r="F45" s="81"/>
    </row>
    <row r="46" spans="1:10">
      <c r="B46" s="81" t="s">
        <v>114</v>
      </c>
      <c r="C46" s="88" t="str">
        <f>ROUND(SUM(C44/C45),2)</f>
        <v>0</v>
      </c>
      <c r="D46" s="88" t="str">
        <f>ROUND(SUM(D44/D45),2)</f>
        <v>0</v>
      </c>
      <c r="E46" s="88" t="str">
        <f>ROUND(SUM(E44/E45),2)</f>
        <v>0</v>
      </c>
      <c r="F46" s="81"/>
    </row>
    <row r="47" spans="1:10">
      <c r="B47" s="81" t="s">
        <v>115</v>
      </c>
      <c r="C47" s="92" t="str">
        <f>ROUND(C46*3.7,2)</f>
        <v>0</v>
      </c>
      <c r="D47" s="92" t="str">
        <f>ROUND(D46*3.7,2)</f>
        <v>0</v>
      </c>
      <c r="E47" s="92" t="str">
        <f>ROUND(E46*3.7,2)</f>
        <v>0</v>
      </c>
      <c r="F47" s="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