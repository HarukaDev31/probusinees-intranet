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<sst xmlns="http://schemas.openxmlformats.org/spreadsheetml/2006/main" uniqueCount="115">
  <si>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</si>
  <si>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</si>
  <si>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</si>
  <si>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</si>
  <si>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CHRISFACTORY (EDITH MOARRI)</t>
  </si>
  <si>
    <t>SERVICIO:</t>
  </si>
  <si>
    <t>CARGA CONSOLIDADA</t>
  </si>
  <si>
    <t>N° CAJAS:</t>
  </si>
  <si>
    <t>APELLIDO:</t>
  </si>
  <si>
    <t>FECHA:</t>
  </si>
  <si>
    <t>PESO:</t>
  </si>
  <si>
    <t>0 Kg</t>
  </si>
  <si>
    <t>DNI/RUC:</t>
  </si>
  <si>
    <t>ORIGEN:</t>
  </si>
  <si>
    <t>CHINA</t>
  </si>
  <si>
    <t>MEDIDA:</t>
  </si>
  <si>
    <t>TELEFONO:</t>
  </si>
  <si>
    <t>CLIENTE:</t>
  </si>
  <si>
    <t>SOCIO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</si>
  <si>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</si>
  <si>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</si>
  <si>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</si>
  <si>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</si>
  <si>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</si>
  <si>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</si>
  <si>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</si>
  <si>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</si>
  <si>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</si>
  <si>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</si>
  <si>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</si>
  <si>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Hola CHRISFACTORY (EDITH MOARRI) 😁 un gusto saludarte!
        A continuación te envío la cotización final de tu importación📋📦.
        🙋‍♂️ PAGO PENDIENTE :
        ☑️Costo CBM: $0
        ☑️Impuestos: $284.77
        ☑️ Total: $284.77
        Pronto le aviso nuevos avances, que tengan buen día🚢
        Último día de pago: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</si>
  <si>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</si>
  <si>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</si>
  <si>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</si>
  <si>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</si>
  <si>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</si>
  <si>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</si>
  <si>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</si>
  <si>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</si>
  <si>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</si>
  <si>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</si>
  <si>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</si>
  <si>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</si>
  <si>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</si>
  <si>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</si>
  <si>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</si>
  <si>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</si>
  <si>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</si>
  <si>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</si>
  <si>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AURICULARES TIPO CASCO MODELO 1</t>
  </si>
  <si>
    <t>AURICULARES TIPO CASCO MODELO 2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</si>
  <si>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</si>
  <si>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</si>
  <si>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</si>
  <si>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</si>
  <si>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</si>
  <si>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</si>
  <si>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</si>
  <si>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</si>
  <si>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</si>
  <si>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</si>
  <si>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</si>
  <si>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</si>
  <si>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</si>
  <si>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</si>
  <si>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</si>
  <si>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</si>
  <si>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</si>
  <si>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</si>
  <si>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</si>
  <si>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</si>
  <si>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</si>
  <si>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</si>
  <si>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</si>
  <si>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</si>
  <si>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</si>
  <si>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</si>
  <si>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</si>
  <si>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</si>
  <si>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</si>
  <si>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</si>
  <si>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</si>
  <si>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</si>
  <si>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</si>
  <si>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</si>
  <si>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</si>
  <si>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</si>
  <si>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Calculo de Tributos</t>
  </si>
  <si>
    <t>Nombres</t>
  </si>
  <si>
    <t>Total</t>
  </si>
  <si>
    <t>Peso</t>
  </si>
  <si>
    <t>Tipo Cliente</t>
  </si>
  <si>
    <t>Tarifa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</si>
  <si>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</si>
  <si>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</si>
  <si>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</si>
  <si>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</si>
  <si>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</si>
  <si>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</si>
  <si>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</si>
  <si>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</si>
  <si>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</si>
  <si>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</si>
  <si>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</si>
  <si>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</si>
  <si>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</si>
  <si>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Tributos Aplicables</t>
  </si>
  <si>
    <t>ANTIDUMPING</t>
  </si>
  <si>
    <t>AD VALOREM</t>
  </si>
  <si>
    <t>PERCEPCION</t>
  </si>
  <si>
    <t>Costos Destinos</t>
  </si>
  <si>
    <t>ITEM</t>
  </si>
  <si>
    <t>COSTO TOTAL</t>
  </si>
  <si>
    <t>COSTO UNITARIO</t>
  </si>
  <si>
    <t>COSTO SOLES</t>
  </si>
</sst>
</file>

<file path=xl/styles.xml><?xml version="1.0" encoding="utf-8"?>
<styleSheet xmlns="http://schemas.openxmlformats.org/spreadsheetml/2006/main" xml:space="preserve">
  <numFmts count="11">
    <numFmt numFmtId="164" formatCode="_-[$$-409]* #,##0.00_ ;_-[$$-409]* \-#,##0.00\ ;_-[$$-409]* &quot;-&quot;??_ ;_-@_ "/>
    <numFmt numFmtId="165" formatCode="[$$-409]#,##0"/>
    <numFmt numFmtId="166" formatCode="_-[$$-540A]* #,##0.00_ ;_-[$$-540A]* \-#,##0.00\ ;_-[$$-540A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.00_-"/>
    <numFmt numFmtId="173" formatCode="0.00&quot; Kg&quot;"/>
    <numFmt numFmtId="174" formatCode="&quot;S/.&quot; #,##0.00_-"/>
  </numFmts>
  <fonts count="1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 Light"/>
    </font>
    <font>
      <b val="1"/>
      <i val="0"/>
      <strike val="0"/>
      <u val="none"/>
      <sz val="11"/>
      <color rgb="FF000000"/>
      <name val="Calibri Light"/>
    </font>
    <font>
      <b val="0"/>
      <i val="0"/>
      <strike val="0"/>
      <u val="none"/>
      <sz val="11"/>
      <color rgb="FFFFFFFF"/>
      <name val="Calibri Light"/>
    </font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single"/>
      <sz val="14"/>
      <color rgb="FF000000"/>
      <name val="Calibri Light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</font>
    <font>
      <b val="1"/>
      <i val="0"/>
      <strike val="0"/>
      <u val="none"/>
      <sz val="11"/>
      <color rgb="FFFFFFFF"/>
      <name val="Calibri Light"/>
    </font>
    <font>
      <b val="0"/>
      <i val="0"/>
      <strike val="0"/>
      <u val="none"/>
      <sz val="14"/>
      <color rgb="FF000000"/>
      <name val="Calibri Light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FFFF"/>
      <name val="Calibri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8F9F9"/>
        <bgColor rgb="FF000000"/>
      </patternFill>
    </fill>
    <fill>
      <patternFill patternType="solid">
        <fgColor rgb="1F618D"/>
        <bgColor rgb="FF000000"/>
      </patternFill>
    </fill>
    <fill>
      <patternFill patternType="solid">
        <fgColor rgb="FFFF33"/>
        <bgColor rgb="FF000000"/>
      </patternFill>
    </fill>
    <fill>
      <patternFill patternType="solid">
        <fgColor rgb="009999"/>
        <bgColor rgb="FFFFFFFF"/>
      </patternFill>
    </fill>
    <fill>
      <patternFill patternType="solid">
        <fgColor rgb="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164" fillId="3" borderId="0" applyFont="0" applyNumberFormat="1" applyFill="1" applyBorder="0" applyAlignment="0">
      <alignment horizontal="general" vertical="bottom" textRotation="0" wrapText="false" shrinkToFit="false"/>
    </xf>
    <xf xfId="0" fontId="0" numFmtId="164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164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4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165" fillId="3" borderId="0" applyFont="1" applyNumberFormat="1" applyFill="1" applyBorder="0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166" fillId="3" borderId="0" applyFont="1" applyNumberFormat="1" applyFill="1" applyBorder="0" applyAlignment="1">
      <alignment horizontal="center" vertical="bottom" textRotation="0" wrapText="false" shrinkToFit="false"/>
    </xf>
    <xf xfId="0" fontId="2" numFmtId="166" fillId="3" borderId="2" applyFont="1" applyNumberFormat="1" applyFill="1" applyBorder="1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center" textRotation="0" wrapText="false" shrinkToFit="false"/>
    </xf>
    <xf xfId="0" fontId="4" numFmtId="0" fillId="4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9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6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3" applyFont="1" applyNumberFormat="0" applyFill="1" applyBorder="1" applyAlignment="0">
      <alignment horizontal="general" vertical="bottom" textRotation="0" wrapText="false" shrinkToFit="false"/>
    </xf>
    <xf xfId="0" fontId="3" numFmtId="0" fillId="3" borderId="4" applyFont="1" applyNumberFormat="0" applyFill="1" applyBorder="1" applyAlignment="0">
      <alignment horizontal="general" vertical="bottom" textRotation="0" wrapText="false" shrinkToFit="false"/>
    </xf>
    <xf xfId="0" fontId="3" numFmtId="0" fillId="3" borderId="5" applyFont="1" applyNumberFormat="0" applyFill="1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0">
      <alignment horizontal="general" vertical="bottom" textRotation="0" wrapText="false" shrinkToFit="false"/>
    </xf>
    <xf xfId="0" fontId="7" numFmtId="0" fillId="6" borderId="0" applyFont="1" applyNumberFormat="0" applyFill="1" applyBorder="0" applyAlignment="1">
      <alignment horizontal="center" vertical="bottom" textRotation="0" wrapText="false" shrinkToFit="false"/>
    </xf>
    <xf xfId="0" fontId="8" numFmtId="0" fillId="3" borderId="0" applyFont="1" applyNumberFormat="0" applyFill="1" applyBorder="0" applyAlignment="0">
      <alignment horizontal="general" vertical="bottom" textRotation="0" wrapText="false" shrinkToFit="false"/>
    </xf>
    <xf xfId="0" fontId="6" numFmtId="167" fillId="3" borderId="0" applyFont="1" applyNumberFormat="1" applyFill="1" applyBorder="0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bottom" textRotation="0" wrapText="false" shrinkToFit="false"/>
    </xf>
    <xf xfId="0" fontId="2" numFmtId="166" fillId="3" borderId="7" applyFont="1" applyNumberFormat="1" applyFill="1" applyBorder="1" applyAlignment="1">
      <alignment horizontal="center" vertical="bottom" textRotation="0" wrapText="false" shrinkToFit="false"/>
    </xf>
    <xf xfId="0" fontId="1" numFmtId="168" fillId="3" borderId="0" applyFont="1" applyNumberFormat="1" applyFill="1" applyBorder="0" applyAlignment="1">
      <alignment horizontal="right" vertical="bottom" textRotation="0" wrapText="false" shrinkToFit="false"/>
    </xf>
    <xf xfId="0" fontId="6" numFmtId="168" fillId="3" borderId="0" applyFont="1" applyNumberFormat="1" applyFill="1" applyBorder="0" applyAlignment="1">
      <alignment horizontal="left" vertical="bottom" textRotation="0" wrapText="false" shrinkToFit="false"/>
    </xf>
    <xf xfId="0" fontId="2" numFmtId="168" fillId="3" borderId="0" applyFont="1" applyNumberFormat="1" applyFill="1" applyBorder="0" applyAlignment="0">
      <alignment horizontal="general" vertical="bottom" textRotation="0" wrapText="false" shrinkToFit="false"/>
    </xf>
    <xf xfId="0" fontId="0" numFmtId="168" fillId="3" borderId="0" applyFont="0" applyNumberFormat="1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4" numFmtId="0" fillId="3" borderId="8" applyFont="1" applyNumberFormat="0" applyFill="1" applyBorder="1" applyAlignment="0">
      <alignment horizontal="general" vertical="bottom" textRotation="0" wrapText="false" shrinkToFit="false"/>
    </xf>
    <xf xfId="0" fontId="7" numFmtId="0" fillId="3" borderId="8" applyFont="1" applyNumberFormat="0" applyFill="1" applyBorder="1" applyAlignment="1">
      <alignment horizontal="general" vertical="center" textRotation="0" wrapText="false" shrinkToFit="false"/>
    </xf>
    <xf xfId="0" fontId="9" numFmtId="0" fillId="3" borderId="0" applyFont="1" applyNumberFormat="0" applyFill="1" applyBorder="0" applyAlignment="0">
      <alignment horizontal="general" vertical="bottom" textRotation="0" wrapText="false" shrinkToFit="false"/>
    </xf>
    <xf xfId="0" fontId="10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2" numFmtId="169" fillId="7" borderId="0" applyFont="1" applyNumberFormat="1" applyFill="1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14" fillId="3" borderId="0" applyFont="1" applyNumberFormat="1" applyFill="1" applyBorder="0" applyAlignment="1">
      <alignment horizontal="left" vertical="bottom" textRotation="0" wrapText="false" shrinkToFit="false"/>
    </xf>
    <xf xfId="0" fontId="2" numFmtId="14" fillId="3" borderId="8" applyFont="1" applyNumberFormat="1" applyFill="1" applyBorder="1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0">
      <alignment horizontal="general" vertical="bottom" textRotation="0" wrapText="false" shrinkToFit="false"/>
    </xf>
    <xf xfId="0" fontId="2" numFmtId="0" fillId="3" borderId="9" applyFont="1" applyNumberFormat="0" applyFill="1" applyBorder="1" applyAlignment="0">
      <alignment horizontal="general" vertical="bottom" textRotation="0" wrapText="false" shrinkToFit="false"/>
    </xf>
    <xf xfId="0" fontId="7" numFmtId="168" fillId="4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0">
      <alignment horizontal="general" vertical="bottom" textRotation="0" wrapText="false" shrinkToFit="false"/>
    </xf>
    <xf xfId="0" fontId="3" numFmtId="0" fillId="3" borderId="7" applyFont="1" applyNumberFormat="0" applyFill="1" applyBorder="1" applyAlignment="0">
      <alignment horizontal="general" vertical="bottom" textRotation="0" wrapText="false" shrinkToFit="false"/>
    </xf>
    <xf xfId="0" fontId="11" numFmtId="0" fillId="6" borderId="0" applyFont="1" applyNumberFormat="0" applyFill="1" applyBorder="0" applyAlignment="1">
      <alignment horizontal="left" vertical="bottom" textRotation="0" wrapText="false" shrinkToFit="false"/>
    </xf>
    <xf xfId="0" fontId="12" numFmtId="0" fillId="2" borderId="0" applyFont="1" applyNumberFormat="0" applyFill="0" applyBorder="0" applyAlignment="1">
      <alignment horizontal="center" vertical="bottom" textRotation="0" wrapText="false" shrinkToFit="false"/>
    </xf>
    <xf xfId="0" fontId="10" numFmtId="0" fillId="3" borderId="0" applyFont="1" applyNumberFormat="0" applyFill="1" applyBorder="0" applyAlignment="1">
      <alignment horizontal="left" vertical="bottom" textRotation="0" wrapText="false" shrinkToFit="false"/>
    </xf>
    <xf xfId="0" fontId="12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3" borderId="10" applyFont="0" applyNumberFormat="0" applyFill="1" applyBorder="1" applyAlignment="1">
      <alignment horizontal="center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0" numFmtId="0" fillId="3" borderId="11" applyFont="0" applyNumberFormat="0" applyFill="1" applyBorder="1" applyAlignment="1">
      <alignment horizontal="center" vertical="bottom" textRotation="0" wrapText="false" shrinkToFit="false"/>
    </xf>
    <xf xfId="0" fontId="13" numFmtId="0" fillId="4" borderId="10" applyFont="1" applyNumberFormat="0" applyFill="1" applyBorder="1" applyAlignment="1">
      <alignment horizontal="center" vertical="bottom" textRotation="0" wrapText="false" shrinkToFit="false"/>
    </xf>
    <xf xfId="0" fontId="13" numFmtId="0" fillId="4" borderId="6" applyFont="1" applyNumberFormat="0" applyFill="1" applyBorder="1" applyAlignment="1">
      <alignment horizontal="center" vertical="bottom" textRotation="0" wrapText="false" shrinkToFit="false"/>
    </xf>
    <xf xfId="0" fontId="13" numFmtId="0" fillId="4" borderId="11" applyFont="1" applyNumberFormat="0" applyFill="1" applyBorder="1" applyAlignment="1">
      <alignment horizontal="center" vertical="bottom" textRotation="0" wrapText="false" shrinkToFit="false"/>
    </xf>
    <xf xfId="0" fontId="2" numFmtId="0" fillId="7" borderId="0" applyFont="1" applyNumberFormat="0" applyFill="1" applyBorder="0" applyAlignment="1">
      <alignment horizontal="center" vertical="bottom" textRotation="0" wrapText="false" shrinkToFit="false"/>
    </xf>
    <xf xfId="0" fontId="2" numFmtId="170" fillId="7" borderId="0" applyFont="1" applyNumberFormat="1" applyFill="1" applyBorder="0" applyAlignment="1">
      <alignment horizontal="center" vertical="bottom" textRotation="0" wrapText="false" shrinkToFit="false"/>
    </xf>
    <xf xfId="0" fontId="14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12" applyFont="1" applyNumberFormat="0" applyFill="1" applyBorder="1" applyAlignment="0">
      <alignment horizontal="general" vertical="bottom" textRotation="0" wrapText="false" shrinkToFit="false"/>
    </xf>
    <xf xfId="0" fontId="15" numFmtId="0" fillId="4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2" applyFont="1" applyNumberFormat="0" applyFill="1" applyBorder="1" applyAlignment="1">
      <alignment horizontal="left" vertical="bottom" textRotation="0" wrapText="false" shrinkToFit="false"/>
    </xf>
    <xf xfId="0" fontId="15" numFmtId="0" fillId="4" borderId="0" applyFont="1" applyNumberFormat="0" applyFill="1" applyBorder="0" applyAlignment="1">
      <alignment horizontal="left" vertical="bottom" textRotation="0" wrapText="false" shrinkToFit="false"/>
    </xf>
    <xf xfId="0" fontId="16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2" numFmtId="171" fillId="7" borderId="0" applyFont="1" applyNumberFormat="1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8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true" shrinkToFit="true"/>
    </xf>
    <xf xfId="0" fontId="0" numFmtId="0" fillId="2" borderId="1" applyFont="0" applyNumberFormat="0" applyFill="0" applyBorder="1" applyAlignment="1">
      <alignment horizontal="center" vertical="center" textRotation="0" wrapText="false" shrinkToFit="true"/>
    </xf>
    <xf xfId="0" fontId="7" numFmtId="0" fillId="9" borderId="1" applyFont="1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0">
      <alignment horizontal="general" vertical="bottom" textRotation="0" wrapText="false" shrinkToFit="false"/>
    </xf>
    <xf xfId="0" fontId="7" numFmtId="0" fillId="9" borderId="1" applyFont="1" applyNumberFormat="0" applyFill="1" applyBorder="1" applyAlignment="0">
      <alignment horizontal="general" vertical="bottom" textRotation="0" wrapText="false" shrinkToFit="false"/>
    </xf>
    <xf xfId="0" fontId="0" numFmtId="172" fillId="2" borderId="1" applyFont="0" applyNumberFormat="1" applyFill="0" applyBorder="1" applyAlignment="0">
      <alignment horizontal="general" vertical="bottom" textRotation="0" wrapText="false" shrinkToFit="false"/>
    </xf>
    <xf xfId="0" fontId="0" numFmtId="173" fillId="2" borderId="1" applyFont="0" applyNumberFormat="1" applyFill="0" applyBorder="1" applyAlignment="1">
      <alignment horizontal="right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10" fillId="2" borderId="1" applyFont="0" applyNumberFormat="1" applyFill="0" applyBorder="1" applyAlignment="0">
      <alignment horizontal="general" vertical="bottom" textRotation="0" wrapText="false" shrinkToFit="false"/>
    </xf>
    <xf xfId="0" fontId="0" numFmtId="174" fillId="2" borderId="1" applyFont="0" applyNumberFormat="1" applyFill="0" applyBorder="1" applyAlignment="0">
      <alignment horizontal="general" vertical="bottom" textRotation="0" wrapText="false" shrinkToFit="false"/>
    </xf>
    <xf xfId="0" fontId="1" numFmtId="172" fillId="2" borderId="1" applyFont="1" applyNumberFormat="1" applyFill="0" applyBorder="1" applyAlignment="0">
      <alignment horizontal="general" vertical="bottom" textRotation="0" wrapText="false" shrinkToFit="false"/>
    </xf>
    <xf xfId="0" fontId="17" numFmtId="10" fillId="2" borderId="1" applyFont="1" applyNumberFormat="1" applyFill="0" applyBorder="1" applyAlignment="0">
      <alignment horizontal="general" vertical="bottom" textRotation="0" wrapText="false" shrinkToFit="false"/>
    </xf>
    <xf xfId="0" fontId="1" numFmtId="172" fillId="3" borderId="1" applyFont="1" applyNumberFormat="1" applyFill="1" applyBorder="1" applyAlignment="1">
      <alignment horizontal="center" vertical="bottom" textRotation="0" wrapText="false" shrinkToFit="false"/>
    </xf>
    <xf xfId="0" fontId="18" numFmtId="174" fillId="11" borderId="1" applyFont="1" applyNumberFormat="1" applyFill="1" applyBorder="1" applyAlignment="1">
      <alignment horizontal="center" vertical="bottom" textRotation="0" wrapText="false" shrinkToFit="false"/>
    </xf>
    <xf xfId="0" fontId="7" numFmtId="168" fillId="4" borderId="0" applyFont="1" applyNumberFormat="1" applyFill="1" applyBorder="0" applyAlignment="1">
      <alignment horizontal="center" vertical="bottom" textRotation="0" wrapText="false" shrinkToFit="false"/>
    </xf>
    <xf xfId="0" fontId="7" numFmtId="168" fillId="12" borderId="0" applyFont="1" applyNumberFormat="1" applyFill="1" applyBorder="0" applyAlignment="1">
      <alignment horizontal="center" vertical="bottom" textRotation="0" wrapText="false" shrinkToFit="false"/>
    </xf>
    <xf xfId="0" fontId="1" numFmtId="168" fillId="12" borderId="0" applyFont="1" applyNumberFormat="1" applyFill="1" applyBorder="0" applyAlignment="1">
      <alignment horizontal="right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2" numFmtId="4" fillId="7" borderId="0" applyFont="1" applyNumberFormat="1" applyFill="1" applyBorder="0" applyAlignment="1">
      <alignment horizontal="center" vertical="bottom" textRotation="0" wrapText="false" shrinkToFit="false"/>
    </xf>
    <xf xfId="0" fontId="2" numFmtId="1" fillId="7" borderId="0" applyFont="1" applyNumberFormat="1" applyFill="1" applyBorder="0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83.png"/><Relationship Id="rId2" Type="http://schemas.openxmlformats.org/officeDocument/2006/relationships/image" Target="../media/image184.png"/><Relationship Id="rId3" Type="http://schemas.openxmlformats.org/officeDocument/2006/relationships/image" Target="../media/image28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695325</xdr:colOff>
      <xdr:row>84</xdr:row>
      <xdr:rowOff>104775</xdr:rowOff>
    </xdr:from>
    <xdr:ext cx="4057650" cy="3429000"/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00"/>
  <sheetViews>
    <sheetView tabSelected="1" workbookViewId="0" zoomScale="85" zoomScaleNormal="85" showGridLines="false" showRowColHeaders="1">
      <selection activeCell="C8" sqref="C8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11.711426" bestFit="true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 s="0" customFormat="1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4" customHeight="1" ht="18">
      <c r="B2" s="47"/>
      <c r="C2" s="47"/>
      <c r="E2" s="52"/>
      <c r="F2" s="52"/>
      <c r="G2" s="52"/>
      <c r="H2" s="52"/>
      <c r="I2" s="52"/>
      <c r="J2" s="52"/>
      <c r="K2" s="52"/>
      <c r="L2" s="52"/>
    </row>
    <row r="3" spans="1:14" customHeight="1" ht="25.8">
      <c r="B3" s="47"/>
      <c r="C3" s="47"/>
      <c r="E3" s="63" t="s">
        <v>0</v>
      </c>
      <c r="F3" s="63"/>
      <c r="G3" s="63"/>
      <c r="H3" s="63"/>
      <c r="I3" s="63"/>
      <c r="J3" s="63"/>
    </row>
    <row r="4" spans="1:14" customHeight="1" ht="25.8">
      <c r="B4" s="47"/>
      <c r="C4" s="47"/>
      <c r="E4" s="64" t="s">
        <v>1</v>
      </c>
      <c r="F4" s="64"/>
      <c r="G4" s="64"/>
      <c r="H4" s="64"/>
      <c r="I4" s="64"/>
      <c r="J4" s="64"/>
      <c r="K4" s="15"/>
    </row>
    <row r="5" spans="1:14">
      <c r="B5" s="47"/>
      <c r="C5" s="47"/>
      <c r="D5" s="45"/>
    </row>
    <row r="6" spans="1:14">
      <c r="B6" s="47"/>
      <c r="C6" s="47"/>
      <c r="D6" s="29"/>
      <c r="F6" s="29"/>
      <c r="G6" s="29"/>
      <c r="H6" s="29"/>
    </row>
    <row r="7" spans="1:14">
      <c r="A7" s="47"/>
      <c r="B7" s="47"/>
      <c r="C7" s="47"/>
      <c r="E7" s="49" t="s">
        <v>2</v>
      </c>
      <c r="F7" s="49"/>
      <c r="G7" s="49"/>
      <c r="I7" s="47"/>
      <c r="J7" s="47"/>
      <c r="K7" s="47"/>
      <c r="L7" s="47"/>
    </row>
    <row r="8" spans="1:14">
      <c r="B8" s="10" t="s">
        <v>3</v>
      </c>
      <c r="C8" s="105" t="s">
        <v>4</v>
      </c>
      <c r="D8" s="43"/>
      <c r="E8" s="26" t="s">
        <v>5</v>
      </c>
      <c r="F8" s="54" t="s">
        <v>6</v>
      </c>
      <c r="G8" s="55"/>
      <c r="H8" s="42"/>
      <c r="I8" s="1" t="s">
        <v>7</v>
      </c>
      <c r="J8" s="71" t="str">
        <f>+'2'!F7</f>
        <v>0</v>
      </c>
      <c r="K8" s="71"/>
      <c r="L8" s="71"/>
    </row>
    <row r="9" spans="1:14">
      <c r="B9" s="10" t="s">
        <v>8</v>
      </c>
      <c r="C9" s="19"/>
      <c r="D9" s="43"/>
      <c r="E9" s="27" t="s">
        <v>9</v>
      </c>
      <c r="F9" s="50" t="str">
        <f>+TODAY()</f>
        <v>0</v>
      </c>
      <c r="G9" s="51"/>
      <c r="H9" s="42"/>
      <c r="I9" s="1" t="s">
        <v>10</v>
      </c>
      <c r="J9" s="104" t="s">
        <v>11</v>
      </c>
      <c r="K9" s="48"/>
      <c r="L9" s="48"/>
    </row>
    <row r="10" spans="1:14">
      <c r="B10" s="10" t="s">
        <v>12</v>
      </c>
      <c r="C10" s="19"/>
      <c r="D10" s="43"/>
      <c r="E10" s="31" t="s">
        <v>13</v>
      </c>
      <c r="F10" s="52" t="s">
        <v>14</v>
      </c>
      <c r="G10" s="53"/>
      <c r="H10" s="42"/>
      <c r="I10" s="1" t="s">
        <v>15</v>
      </c>
      <c r="J10" s="72"/>
      <c r="K10" s="104"/>
      <c r="L10" s="72"/>
    </row>
    <row r="11" spans="1:14">
      <c r="B11" s="10" t="s">
        <v>16</v>
      </c>
      <c r="C11" s="20"/>
      <c r="D11" s="44"/>
      <c r="E11" s="28" t="s">
        <v>17</v>
      </c>
      <c r="F11" s="57" t="s">
        <v>18</v>
      </c>
      <c r="G11" s="74"/>
      <c r="H11" s="42"/>
      <c r="I11" s="1" t="s">
        <v>19</v>
      </c>
      <c r="J11" s="103" t="str">
        <f>'2'!E7</f>
        <v>0</v>
      </c>
      <c r="K11" s="82"/>
      <c r="L11" s="82"/>
    </row>
    <row r="12" spans="1:14"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</row>
    <row r="13" spans="1:14">
      <c r="B13" s="75" t="s">
        <v>20</v>
      </c>
      <c r="C13" s="75"/>
      <c r="D13" s="75"/>
      <c r="E13" s="75"/>
      <c r="F13" s="75"/>
      <c r="G13" s="75"/>
      <c r="H13" s="75"/>
      <c r="I13" s="75"/>
      <c r="J13" s="75"/>
      <c r="K13" s="12" t="s">
        <v>21</v>
      </c>
      <c r="L13" s="12" t="s">
        <v>22</v>
      </c>
    </row>
    <row r="14" spans="1:14">
      <c r="B14" s="76" t="s">
        <v>23</v>
      </c>
      <c r="C14" s="76"/>
      <c r="D14" s="76"/>
      <c r="E14" s="76"/>
      <c r="F14" s="76"/>
      <c r="G14" s="76"/>
      <c r="H14" s="76"/>
      <c r="I14" s="76"/>
      <c r="J14" s="76"/>
      <c r="K14" s="17" t="str">
        <f>'2'!E11</f>
        <v>0</v>
      </c>
      <c r="L14" s="11" t="s">
        <v>24</v>
      </c>
    </row>
    <row r="15" spans="1:14">
      <c r="B15" s="77" t="s">
        <v>25</v>
      </c>
      <c r="C15" s="77"/>
      <c r="D15" s="77"/>
      <c r="E15" s="77"/>
      <c r="F15" s="77"/>
      <c r="G15" s="77"/>
      <c r="H15" s="77"/>
      <c r="I15" s="77"/>
      <c r="J15" s="77"/>
      <c r="K15" s="18" t="str">
        <f>'2'!E14 + '2'!E17</f>
        <v>0</v>
      </c>
      <c r="L15" s="14" t="s">
        <v>24</v>
      </c>
    </row>
    <row r="16" spans="1:14">
      <c r="B16" s="60" t="s">
        <v>26</v>
      </c>
      <c r="C16" s="60"/>
      <c r="D16" s="60"/>
      <c r="E16" s="60"/>
      <c r="F16" s="60"/>
      <c r="G16" s="60"/>
      <c r="H16" s="60"/>
      <c r="I16" s="60"/>
      <c r="J16" s="60"/>
      <c r="K16" s="17" t="str">
        <f>SUM(K14:K15)</f>
        <v>0</v>
      </c>
      <c r="L16" s="11" t="s">
        <v>24</v>
      </c>
    </row>
    <row r="17" spans="1:14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4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4">
      <c r="B19" s="78" t="s">
        <v>27</v>
      </c>
      <c r="C19" s="78"/>
      <c r="D19" s="78"/>
      <c r="E19" s="78"/>
      <c r="F19" s="78"/>
      <c r="G19" s="21"/>
      <c r="H19" s="21"/>
      <c r="I19" s="21"/>
      <c r="J19" s="12" t="s">
        <v>28</v>
      </c>
      <c r="K19" s="12" t="s">
        <v>21</v>
      </c>
      <c r="L19" s="12" t="s">
        <v>22</v>
      </c>
    </row>
    <row r="20" spans="1:14">
      <c r="B20" s="58" t="s">
        <v>29</v>
      </c>
      <c r="C20" s="58"/>
      <c r="D20" s="58"/>
      <c r="E20" s="58"/>
      <c r="F20" s="58"/>
      <c r="G20" s="58"/>
      <c r="H20" s="58"/>
      <c r="I20" s="58"/>
      <c r="J20" s="23" t="str">
        <f>MAX('2'!C27:D27)</f>
        <v>0</v>
      </c>
      <c r="K20" s="17" t="str">
        <f>'2'!E28</f>
        <v>0</v>
      </c>
      <c r="L20" s="11" t="s">
        <v>24</v>
      </c>
      <c r="N20" t="s">
        <v>30</v>
      </c>
    </row>
    <row r="21" spans="1:14">
      <c r="B21" s="58" t="s">
        <v>31</v>
      </c>
      <c r="C21" s="58"/>
      <c r="D21" s="58"/>
      <c r="E21" s="58"/>
      <c r="F21" s="58"/>
      <c r="G21" s="58"/>
      <c r="H21" s="58"/>
      <c r="I21" s="58"/>
      <c r="J21" s="23">
        <v>0.16</v>
      </c>
      <c r="K21" s="17" t="str">
        <f>'2'!E29</f>
        <v>0</v>
      </c>
      <c r="L21" s="11" t="s">
        <v>24</v>
      </c>
    </row>
    <row r="22" spans="1:14">
      <c r="B22" s="57" t="s">
        <v>32</v>
      </c>
      <c r="C22" s="57"/>
      <c r="D22" s="57"/>
      <c r="E22" s="57"/>
      <c r="F22" s="57"/>
      <c r="G22" s="57"/>
      <c r="H22" s="57"/>
      <c r="I22" s="57"/>
      <c r="J22" s="23">
        <v>0.02</v>
      </c>
      <c r="K22" s="17" t="str">
        <f>'2'!E30</f>
        <v>0</v>
      </c>
      <c r="L22" s="11" t="s">
        <v>24</v>
      </c>
    </row>
    <row r="23" spans="1:14">
      <c r="B23" s="60" t="s">
        <v>33</v>
      </c>
      <c r="C23" s="60"/>
      <c r="D23" s="60"/>
      <c r="E23" s="60"/>
      <c r="F23" s="60"/>
      <c r="G23" s="60"/>
      <c r="H23" s="60"/>
      <c r="I23" s="60"/>
      <c r="J23" s="35"/>
      <c r="K23" s="36" t="str">
        <f>SUM(K20:K22)</f>
        <v>0</v>
      </c>
      <c r="L23" s="35" t="s">
        <v>24</v>
      </c>
    </row>
    <row r="24" spans="1:14">
      <c r="B24" s="58"/>
      <c r="C24" s="58"/>
      <c r="D24" s="58"/>
      <c r="E24" s="58"/>
      <c r="F24" s="58"/>
      <c r="G24" s="58"/>
      <c r="H24" s="58"/>
      <c r="I24" s="58"/>
      <c r="J24" s="2"/>
      <c r="K24" s="13"/>
      <c r="L24" s="11"/>
    </row>
    <row r="25" spans="1:14">
      <c r="B25" s="57" t="s">
        <v>34</v>
      </c>
      <c r="C25" s="57"/>
      <c r="D25" s="57"/>
      <c r="E25" s="57"/>
      <c r="F25" s="57"/>
      <c r="G25" s="57"/>
      <c r="H25" s="57"/>
      <c r="I25" s="57"/>
      <c r="J25" s="24" t="s">
        <v>35</v>
      </c>
      <c r="K25" s="18" t="str">
        <f>'2'!E31</f>
        <v>0</v>
      </c>
      <c r="L25" s="14" t="s">
        <v>24</v>
      </c>
    </row>
    <row r="26" spans="1:14">
      <c r="B26" s="60" t="s">
        <v>36</v>
      </c>
      <c r="C26" s="60"/>
      <c r="D26" s="60"/>
      <c r="E26" s="60"/>
      <c r="F26" s="60"/>
      <c r="G26" s="60"/>
      <c r="H26" s="60"/>
      <c r="I26" s="60"/>
      <c r="K26" s="17" t="str">
        <f>K23+K25</f>
        <v>0</v>
      </c>
      <c r="L26" s="11" t="s">
        <v>24</v>
      </c>
    </row>
    <row r="27" spans="1:14">
      <c r="B27" s="52"/>
      <c r="C27" s="52"/>
      <c r="D27" s="52"/>
      <c r="E27" s="52"/>
      <c r="F27" s="52"/>
      <c r="G27" s="52"/>
      <c r="H27" s="52"/>
      <c r="I27" s="52"/>
    </row>
    <row r="28" spans="1:14" customHeight="1" ht="15.6">
      <c r="B28" s="61" t="s">
        <v>37</v>
      </c>
      <c r="C28" s="61"/>
      <c r="D28" s="61"/>
      <c r="E28" s="61"/>
      <c r="F28" s="61"/>
      <c r="G28" s="61"/>
      <c r="H28" s="61"/>
      <c r="I28" s="61"/>
      <c r="J28" s="61"/>
      <c r="K28" s="32" t="s">
        <v>21</v>
      </c>
      <c r="L28" s="32" t="s">
        <v>22</v>
      </c>
    </row>
    <row r="29" spans="1:14">
      <c r="B29" s="58" t="s">
        <v>38</v>
      </c>
      <c r="C29" s="58"/>
      <c r="D29" s="58"/>
      <c r="E29" s="58"/>
      <c r="F29" s="58"/>
      <c r="G29" s="58"/>
      <c r="H29" s="58"/>
      <c r="I29" s="58"/>
      <c r="J29" s="58"/>
      <c r="K29" s="17" t="str">
        <f>K14</f>
        <v>0</v>
      </c>
      <c r="L29" s="11" t="s">
        <v>24</v>
      </c>
    </row>
    <row r="30" spans="1:14">
      <c r="B30" s="58" t="s">
        <v>39</v>
      </c>
      <c r="C30" s="58"/>
      <c r="D30" s="58"/>
      <c r="E30" s="58"/>
      <c r="F30" s="58"/>
      <c r="G30" s="58"/>
      <c r="H30" s="58"/>
      <c r="I30" s="58"/>
      <c r="J30" s="58"/>
      <c r="K30" s="17" t="str">
        <f>IF('2'!I7&lt;1, '2'!I7*J11, '2'!I7*J11)</f>
        <v>0</v>
      </c>
      <c r="L30" s="11" t="s">
        <v>24</v>
      </c>
    </row>
    <row r="31" spans="1:14">
      <c r="B31" s="57" t="s">
        <v>40</v>
      </c>
      <c r="C31" s="57"/>
      <c r="D31" s="57"/>
      <c r="E31" s="57"/>
      <c r="F31" s="57"/>
      <c r="G31" s="57"/>
      <c r="H31" s="57"/>
      <c r="I31" s="57"/>
      <c r="J31" s="57"/>
      <c r="K31" s="18" t="str">
        <f>K26</f>
        <v>0</v>
      </c>
      <c r="L31" s="14" t="s">
        <v>24</v>
      </c>
    </row>
    <row r="32" spans="1:14">
      <c r="B32" s="60" t="s">
        <v>41</v>
      </c>
      <c r="C32" s="60"/>
      <c r="D32" s="60"/>
      <c r="E32" s="60"/>
      <c r="F32" s="60"/>
      <c r="G32" s="60"/>
      <c r="H32" s="60"/>
      <c r="I32" s="60"/>
      <c r="J32" s="60"/>
      <c r="K32" s="17" t="str">
        <f>SUM(K29:K31)</f>
        <v>0</v>
      </c>
      <c r="L32" s="11" t="s">
        <v>24</v>
      </c>
    </row>
    <row r="33" spans="1:14"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22" t="s">
        <v>43</v>
      </c>
      <c r="C35" s="65" t="s">
        <v>44</v>
      </c>
      <c r="D35" s="66"/>
      <c r="E35" s="67"/>
      <c r="F35" s="6" t="s">
        <v>45</v>
      </c>
      <c r="G35" s="65" t="s">
        <v>46</v>
      </c>
      <c r="H35" s="67"/>
      <c r="I35" s="5" t="s">
        <v>47</v>
      </c>
      <c r="J35" s="30" t="s">
        <v>36</v>
      </c>
      <c r="K35" s="56" t="s">
        <v>48</v>
      </c>
      <c r="L35" s="56"/>
    </row>
    <row r="36" spans="1:14">
      <c r="B36" s="7">
        <v>1</v>
      </c>
      <c r="C36" s="7" t="s">
        <v>49</v>
      </c>
      <c r="D36" s="7"/>
      <c r="E36" s="7"/>
      <c r="F36" s="7" t="str">
        <f>'2'!C10</f>
        <v>0</v>
      </c>
      <c r="G36" s="97" t="str">
        <f>'2'!C8</f>
        <v>0</v>
      </c>
      <c r="H36" s="8"/>
      <c r="I36" s="97" t="str">
        <f>'2'!C46</f>
        <v>0</v>
      </c>
      <c r="J36" s="97" t="str">
        <f>'2'!C44</f>
        <v>0</v>
      </c>
      <c r="K36" s="98" t="str">
        <f>'2'!C47</f>
        <v>0</v>
      </c>
      <c r="L36" s="56"/>
      <c r="M36" s="1"/>
    </row>
    <row r="37" spans="1:14">
      <c r="B37" s="7">
        <v>2</v>
      </c>
      <c r="C37" s="7" t="s">
        <v>50</v>
      </c>
      <c r="D37" s="7"/>
      <c r="E37" s="7"/>
      <c r="F37" s="7" t="str">
        <f>'2'!D10</f>
        <v>0</v>
      </c>
      <c r="G37" s="97" t="str">
        <f>'2'!D8</f>
        <v>0</v>
      </c>
      <c r="H37" s="8"/>
      <c r="I37" s="97" t="str">
        <f>'2'!D46</f>
        <v>0</v>
      </c>
      <c r="J37" s="97" t="str">
        <f>'2'!D44</f>
        <v>0</v>
      </c>
      <c r="K37" s="98" t="str">
        <f>'2'!D47</f>
        <v>0</v>
      </c>
      <c r="L37" s="56"/>
      <c r="M37" s="1"/>
    </row>
    <row r="38" spans="1:14">
      <c r="B38" s="102" t="s">
        <v>36</v>
      </c>
      <c r="C38" s="6"/>
      <c r="D38" s="6"/>
      <c r="E38" s="6"/>
      <c r="F38" s="7" t="str">
        <f>SUM(F36:F37)</f>
        <v>0</v>
      </c>
      <c r="G38" s="4"/>
      <c r="H38" s="4"/>
      <c r="I38" s="3"/>
      <c r="J38" s="97" t="str">
        <f>SUM(J36:J37)</f>
        <v>0</v>
      </c>
      <c r="K38" s="100"/>
      <c r="L38" s="99"/>
      <c r="M38" s="1"/>
    </row>
    <row r="39" spans="1:14" customHeight="1" ht="15.6">
      <c r="B39" s="25"/>
      <c r="C39" s="2"/>
      <c r="D39" s="2"/>
      <c r="E39" s="2"/>
      <c r="F39" s="16"/>
      <c r="G39" s="2"/>
      <c r="H39" s="2"/>
      <c r="I39" s="1"/>
      <c r="J39" s="34"/>
      <c r="K39" s="101"/>
      <c r="L39" s="38"/>
      <c r="M39" s="1"/>
    </row>
    <row r="40" spans="1:14" customHeight="1" ht="15.6">
      <c r="B40" s="25"/>
      <c r="C40" s="2"/>
      <c r="D40" s="2"/>
      <c r="E40" s="2"/>
      <c r="F40" s="16"/>
      <c r="G40" s="2"/>
      <c r="H40" s="2"/>
      <c r="J40" s="34"/>
      <c r="K40" s="37"/>
      <c r="L40" s="38"/>
    </row>
    <row r="41" spans="1:14">
      <c r="B41" s="9"/>
      <c r="C41" s="9"/>
      <c r="D41" s="9"/>
      <c r="E41" s="9"/>
      <c r="F41" s="9"/>
      <c r="G41" s="9"/>
      <c r="H41" s="9"/>
      <c r="I41" s="9"/>
      <c r="J41" s="9"/>
      <c r="K41" s="39"/>
      <c r="L41" s="40"/>
    </row>
    <row r="42" spans="1:14" customHeight="1" ht="18">
      <c r="B42" s="33" t="s">
        <v>51</v>
      </c>
      <c r="C42" s="9"/>
      <c r="D42" s="9"/>
      <c r="E42" s="9"/>
      <c r="F42" s="9"/>
      <c r="G42" s="9"/>
      <c r="H42" s="9"/>
      <c r="I42" s="9"/>
      <c r="J42" s="9"/>
      <c r="K42" s="9"/>
    </row>
    <row r="43" spans="1:14" customHeight="1" ht="18">
      <c r="B43" s="73" t="s">
        <v>52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53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54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55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56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4" customHeight="1" ht="9">
      <c r="B49" s="47"/>
      <c r="C49" s="47"/>
      <c r="E49" s="47"/>
      <c r="F49" s="47"/>
      <c r="G49" s="47"/>
      <c r="H49" s="47"/>
      <c r="I49" s="47"/>
      <c r="J49" s="47"/>
      <c r="K49" s="47"/>
      <c r="L49" s="47"/>
      <c r="M49" s="47"/>
    </row>
    <row r="50" spans="1:14" customHeight="1" ht="31.8">
      <c r="B50" s="47"/>
      <c r="C50" s="47"/>
      <c r="D50" s="46" t="s">
        <v>0</v>
      </c>
      <c r="E50" s="46"/>
      <c r="F50" s="46"/>
      <c r="G50" s="46"/>
      <c r="H50" s="46"/>
      <c r="I50" s="46"/>
      <c r="J50" s="46"/>
      <c r="K50" s="46"/>
      <c r="L50" s="46"/>
      <c r="M50" s="46"/>
    </row>
    <row r="51" spans="1:14" customHeight="1" ht="21">
      <c r="B51" s="47"/>
      <c r="C51" s="47"/>
      <c r="D51" s="62" t="s">
        <v>57</v>
      </c>
      <c r="E51" s="62"/>
      <c r="F51" s="62"/>
      <c r="G51" s="62"/>
      <c r="H51" s="62"/>
      <c r="I51" s="62"/>
    </row>
    <row r="52" spans="1:14">
      <c r="B52" s="47"/>
      <c r="C52" s="47"/>
    </row>
    <row r="53" spans="1:14">
      <c r="B53" s="47"/>
      <c r="C53" s="47"/>
    </row>
    <row r="54" spans="1:14" customHeight="1" ht="21">
      <c r="B54" s="79" t="s">
        <v>58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59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60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8" t="s">
        <v>61</v>
      </c>
      <c r="C58" s="58"/>
      <c r="D58" s="58"/>
      <c r="E58" s="58"/>
      <c r="F58" s="58"/>
      <c r="G58" s="58"/>
      <c r="H58" s="58"/>
      <c r="I58" s="58"/>
      <c r="J58" s="58"/>
      <c r="K58" s="58"/>
      <c r="L58" s="58"/>
    </row>
    <row r="59" spans="1:14">
      <c r="B59" s="80" t="s">
        <v>62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63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8" t="s">
        <v>64</v>
      </c>
      <c r="C61" s="58"/>
      <c r="D61" s="58"/>
      <c r="E61" s="58"/>
      <c r="F61" s="58"/>
      <c r="G61" s="58"/>
      <c r="H61" s="58"/>
      <c r="I61" s="58"/>
      <c r="J61" s="58"/>
      <c r="K61" s="58"/>
      <c r="L61" s="58"/>
    </row>
    <row r="62" spans="1:14">
      <c r="B62" s="80" t="s">
        <v>65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66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67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68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69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70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71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72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73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74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75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76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77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78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79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80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81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82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83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41"/>
      <c r="B81" s="81" t="s">
        <v>84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41"/>
      <c r="B82" s="80" t="s">
        <v>85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41"/>
      <c r="B83" s="81" t="s">
        <v>86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7"/>
      <c r="D85" s="47"/>
      <c r="E85" s="47"/>
      <c r="F85" s="47"/>
      <c r="G85" s="47"/>
      <c r="H85" s="47"/>
      <c r="I85" s="47"/>
    </row>
    <row r="86" spans="1:14">
      <c r="C86" s="47"/>
      <c r="D86" s="47"/>
      <c r="E86" s="47"/>
      <c r="F86" s="47"/>
      <c r="G86" s="47"/>
      <c r="H86" s="47"/>
      <c r="I86" s="47"/>
    </row>
    <row r="87" spans="1:14">
      <c r="C87" s="47"/>
      <c r="D87" s="47"/>
      <c r="E87" s="47"/>
      <c r="F87" s="47"/>
      <c r="G87" s="47"/>
      <c r="H87" s="47"/>
      <c r="I87" s="47"/>
    </row>
    <row r="88" spans="1:14">
      <c r="C88" s="47"/>
      <c r="D88" s="47"/>
      <c r="E88" s="47"/>
      <c r="F88" s="47"/>
      <c r="G88" s="47"/>
      <c r="H88" s="47"/>
      <c r="I88" s="47"/>
    </row>
    <row r="89" spans="1:14">
      <c r="C89" s="47"/>
      <c r="D89" s="47"/>
      <c r="E89" s="47"/>
      <c r="F89" s="47"/>
      <c r="G89" s="47"/>
      <c r="H89" s="47"/>
      <c r="I89" s="47"/>
    </row>
    <row r="90" spans="1:14">
      <c r="C90" s="47"/>
      <c r="D90" s="47"/>
      <c r="E90" s="47"/>
      <c r="F90" s="47"/>
      <c r="G90" s="47"/>
      <c r="H90" s="47"/>
      <c r="I90" s="47"/>
    </row>
    <row r="91" spans="1:14">
      <c r="C91" s="47"/>
      <c r="D91" s="47"/>
      <c r="E91" s="47"/>
      <c r="F91" s="47"/>
      <c r="G91" s="47"/>
      <c r="H91" s="47"/>
      <c r="I91" s="47"/>
    </row>
    <row r="92" spans="1:14" customHeight="1" ht="15.6">
      <c r="C92" s="47"/>
      <c r="D92" s="47"/>
      <c r="E92" s="47"/>
      <c r="F92" s="47"/>
      <c r="G92" s="47"/>
      <c r="H92" s="47"/>
      <c r="I92" s="47"/>
    </row>
    <row r="93" spans="1:14" customHeight="1" ht="15.6">
      <c r="C93" s="47"/>
      <c r="D93" s="47"/>
      <c r="E93" s="47"/>
      <c r="F93" s="47"/>
      <c r="G93" s="47"/>
      <c r="H93" s="47"/>
      <c r="I93" s="47"/>
    </row>
    <row r="94" spans="1:14">
      <c r="C94" s="47"/>
      <c r="D94" s="47"/>
      <c r="E94" s="47"/>
      <c r="F94" s="47"/>
      <c r="G94" s="47"/>
      <c r="H94" s="47"/>
      <c r="I94" s="47"/>
    </row>
    <row r="100" spans="1:14" customHeight="1" ht="15.6"/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B73:L73"/>
    <mergeCell ref="B74:L74"/>
    <mergeCell ref="A7:C7"/>
    <mergeCell ref="I7:L7"/>
    <mergeCell ref="B58:L58"/>
    <mergeCell ref="B47:L47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B38:E38"/>
    <mergeCell ref="C8:C9"/>
  </mergeCells>
  <dataValidations count="5">
    <dataValidation type="custom" allowBlank="0" showDropDown="0" showInputMessage="1" showErrorMessage="1" errorTitle="VERIFICAR NÚMERO DE TELEFONO" error="Verifica que tenga 9 digitos sin espacio" sqref="J8">
      <formula1>(LEN(C11)=9)</formula1>
    </dataValidation>
    <dataValidation type="custom" allowBlank="0" showDropDown="0" showInputMessage="1" showErrorMessage="1" errorTitle="VERIFICAR NÚMERO DE TELEFONO" error="Verifica que tenga 9 digitos sin espacio" sqref="K8">
      <formula1>(LEN(C11)=9)</formula1>
    </dataValidation>
    <dataValidation type="custom" allowBlank="0" showDropDown="0" showInputMessage="1" showErrorMessage="1" errorTitle="VERIFICAR NÚMERO DE TELEFONO" error="Verifica que tenga 9 digitos sin espacio" sqref="L8">
      <formula1>(LEN(C11)=9)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INGRESA EL NOMBRE" error="Ingresa al menos 1 nombre del cliente" sqref="C9">
      <formula1>C8&lt;&gt;0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47"/>
  <sheetViews>
    <sheetView tabSelected="0" workbookViewId="0" showGridLines="true" showRowColHeaders="1">
      <selection activeCell="E44" sqref="E44"/>
    </sheetView>
  </sheetViews>
  <sheetFormatPr defaultRowHeight="14.4" outlineLevelRow="0" outlineLevelCol="0"/>
  <cols>
    <col min="2" max="2" width="24.708252" bestFit="true" customWidth="true" style="0"/>
    <col min="3" max="3" width="37.705078" bestFit="true" customWidth="true" style="0"/>
    <col min="4" max="4" width="37.705078" bestFit="true" customWidth="true" style="0"/>
    <col min="5" max="5" width="12.854004" bestFit="true" customWidth="true" style="0"/>
  </cols>
  <sheetData>
    <row r="3" spans="1:9">
      <c r="B3" s="84" t="s">
        <v>87</v>
      </c>
      <c r="C3" s="83"/>
      <c r="D3" s="83"/>
      <c r="E3" s="83"/>
      <c r="F3" s="83"/>
      <c r="G3" s="83"/>
    </row>
    <row r="5" spans="1:9">
      <c r="B5" s="87" t="s">
        <v>88</v>
      </c>
      <c r="C5" s="89" t="s">
        <v>49</v>
      </c>
      <c r="D5" s="89" t="s">
        <v>50</v>
      </c>
      <c r="E5" s="89" t="s">
        <v>89</v>
      </c>
    </row>
    <row r="6" spans="1:9">
      <c r="B6" s="83" t="s">
        <v>90</v>
      </c>
      <c r="C6" s="83">
        <v>0</v>
      </c>
      <c r="D6" s="83">
        <v>0</v>
      </c>
      <c r="E6" s="91">
        <v>0</v>
      </c>
      <c r="H6" s="85" t="s">
        <v>91</v>
      </c>
      <c r="I6" s="85" t="s">
        <v>92</v>
      </c>
    </row>
    <row r="7" spans="1:9">
      <c r="B7" s="83" t="s">
        <v>93</v>
      </c>
      <c r="C7" s="83">
        <v>0</v>
      </c>
      <c r="D7" s="83">
        <v>0</v>
      </c>
      <c r="E7" s="92">
        <v>0.27</v>
      </c>
      <c r="H7" s="86" t="s">
        <v>18</v>
      </c>
      <c r="I7" s="86"/>
    </row>
    <row r="8" spans="1:9">
      <c r="B8" s="83" t="s">
        <v>94</v>
      </c>
      <c r="C8" s="90">
        <v>2.93</v>
      </c>
      <c r="D8" s="90">
        <v>3.2</v>
      </c>
      <c r="E8" s="83"/>
    </row>
    <row r="9" spans="1:9">
      <c r="B9" s="88" t="s">
        <v>95</v>
      </c>
      <c r="C9" s="90">
        <v>0</v>
      </c>
      <c r="D9" s="90">
        <v>0</v>
      </c>
      <c r="E9" s="83"/>
    </row>
    <row r="10" spans="1:9">
      <c r="B10" s="83" t="s">
        <v>96</v>
      </c>
      <c r="C10" s="83">
        <v>160</v>
      </c>
      <c r="D10" s="83">
        <v>240</v>
      </c>
      <c r="E10" s="83" t="str">
        <f>SUM(C10:D10)</f>
        <v>0</v>
      </c>
    </row>
    <row r="11" spans="1:9">
      <c r="B11" s="83" t="s">
        <v>97</v>
      </c>
      <c r="C11" s="90" t="str">
        <f>C8*C10</f>
        <v>0</v>
      </c>
      <c r="D11" s="90" t="str">
        <f>D8*D10</f>
        <v>0</v>
      </c>
      <c r="E11" s="95" t="str">
        <f>SUM(C11:D11)</f>
        <v>0</v>
      </c>
    </row>
    <row r="12" spans="1:9">
      <c r="B12" s="88" t="s">
        <v>98</v>
      </c>
      <c r="C12" s="90" t="str">
        <f>C10*C9</f>
        <v>0</v>
      </c>
      <c r="D12" s="90" t="str">
        <f>D10*D9</f>
        <v>0</v>
      </c>
      <c r="E12" s="95" t="str">
        <f>SUM(C12:D12)</f>
        <v>0</v>
      </c>
    </row>
    <row r="13" spans="1:9">
      <c r="B13" s="83" t="s">
        <v>99</v>
      </c>
      <c r="C13" s="93" t="str">
        <f>C11/E11</f>
        <v>0</v>
      </c>
      <c r="D13" s="93" t="str">
        <f>D11/E11</f>
        <v>0</v>
      </c>
      <c r="E13" s="83"/>
    </row>
    <row r="14" spans="1:9">
      <c r="B14" s="83" t="s">
        <v>100</v>
      </c>
      <c r="C14" s="90" t="str">
        <f>ROUNDUP(E14*C13,2)</f>
        <v>0</v>
      </c>
      <c r="D14" s="90" t="str">
        <f>ROUNDUP(E14*D13,2)</f>
        <v>0</v>
      </c>
      <c r="E14" s="95" t="str">
        <f>IF(E7&lt;1, ROUNDUP(I7*0.6, 0), ROUNDUP(I7*0.6*E7, 0))</f>
        <v>0</v>
      </c>
    </row>
    <row r="15" spans="1:9">
      <c r="B15" s="83" t="s">
        <v>101</v>
      </c>
      <c r="C15" s="90" t="str">
        <f>ROUNDUP(C11+C14,2)</f>
        <v>0</v>
      </c>
      <c r="D15" s="90" t="str">
        <f>ROUNDUP(D11+D14,2)</f>
        <v>0</v>
      </c>
      <c r="E15" s="95" t="str">
        <f>SUM(C15:D15)</f>
        <v>0</v>
      </c>
    </row>
    <row r="16" spans="1:9">
      <c r="B16" s="88" t="s">
        <v>102</v>
      </c>
      <c r="C16" s="90" t="str">
        <f>ROUNDUP(C12+C14,2)</f>
        <v>0</v>
      </c>
      <c r="D16" s="90" t="str">
        <f>ROUNDUP(D12+D14,2)</f>
        <v>0</v>
      </c>
      <c r="E16" s="95" t="str">
        <f>SUM(C16:D16)</f>
        <v>0</v>
      </c>
    </row>
    <row r="17" spans="1:9">
      <c r="B17" s="83" t="s">
        <v>103</v>
      </c>
      <c r="C17" s="90" t="str">
        <f>IF(E15&gt;5000,ROUND(100*C13,2),ROUND(50*C13,2))</f>
        <v>0</v>
      </c>
      <c r="D17" s="90" t="str">
        <f>IF(E15&gt;5000,ROUND(100*D13,2),ROUND(50*D13,2))</f>
        <v>0</v>
      </c>
      <c r="E17" s="95" t="str">
        <f>SUM(C17:D17)</f>
        <v>0</v>
      </c>
    </row>
    <row r="18" spans="1:9">
      <c r="B18" s="83" t="s">
        <v>104</v>
      </c>
      <c r="C18" s="90" t="str">
        <f>ROUNDUP(C15+C17,2)</f>
        <v>0</v>
      </c>
      <c r="D18" s="90" t="str">
        <f>ROUNDUP(D15+D17,2)</f>
        <v>0</v>
      </c>
      <c r="E18" s="95" t="str">
        <f>SUM(C18:D18)</f>
        <v>0</v>
      </c>
    </row>
    <row r="19" spans="1:9">
      <c r="B19" s="88" t="s">
        <v>105</v>
      </c>
      <c r="C19" s="90" t="str">
        <f>ROUNDUP(C16+C17,2)</f>
        <v>0</v>
      </c>
      <c r="D19" s="90" t="str">
        <f>ROUNDUP(D16+D17,2)</f>
        <v>0</v>
      </c>
      <c r="E19" s="95" t="str">
        <f>SUM(C19:D19)</f>
        <v>0</v>
      </c>
    </row>
    <row r="23" spans="1:9">
      <c r="B23" s="84" t="s">
        <v>106</v>
      </c>
      <c r="C23" s="83"/>
      <c r="D23" s="83"/>
      <c r="E23" s="83"/>
    </row>
    <row r="26" spans="1:9">
      <c r="B26" s="83" t="s">
        <v>107</v>
      </c>
      <c r="C26" s="90">
        <v>0</v>
      </c>
      <c r="D26" s="90">
        <v>0</v>
      </c>
      <c r="E26" s="90" t="str">
        <f>SUM(C26:D26)</f>
        <v>0</v>
      </c>
    </row>
    <row r="27" spans="1:9">
      <c r="C27" s="96">
        <v>0</v>
      </c>
      <c r="D27" s="96">
        <v>0</v>
      </c>
      <c r="E27" s="93" t="str">
        <f>SUM(C27:D27)</f>
        <v>0</v>
      </c>
    </row>
    <row r="28" spans="1:9">
      <c r="B28" s="83" t="s">
        <v>108</v>
      </c>
      <c r="C28" s="90" t="str">
        <f>MAX(C19,C18)*C27</f>
        <v>0</v>
      </c>
      <c r="D28" s="90" t="str">
        <f>MAX(D19,D18)*D27</f>
        <v>0</v>
      </c>
      <c r="E28" s="90" t="str">
        <f>SUM(C28:D28)</f>
        <v>0</v>
      </c>
    </row>
    <row r="29" spans="1:9">
      <c r="B29" s="83" t="s">
        <v>31</v>
      </c>
      <c r="C29" s="90" t="str">
        <f>0.16*(MAX(C19,C18)+C28)</f>
        <v>0</v>
      </c>
      <c r="D29" s="90" t="str">
        <f>0.16*(MAX(D19,D18)+D28)</f>
        <v>0</v>
      </c>
      <c r="E29" s="90" t="str">
        <f>SUM(C29:D29)</f>
        <v>0</v>
      </c>
    </row>
    <row r="30" spans="1:9">
      <c r="B30" s="83" t="s">
        <v>32</v>
      </c>
      <c r="C30" s="90" t="str">
        <f>0.02*(MAX(C19,C18)+C28)</f>
        <v>0</v>
      </c>
      <c r="D30" s="90" t="str">
        <f>0.02*(MAX(D19,D18)+D28)</f>
        <v>0</v>
      </c>
      <c r="E30" s="90" t="str">
        <f>SUM(C30:D30)</f>
        <v>0</v>
      </c>
    </row>
    <row r="31" spans="1:9">
      <c r="B31" s="83" t="s">
        <v>109</v>
      </c>
      <c r="C31" s="90" t="str">
        <f>0.035*(MAX(C18,C19) +C28+C29+C30)</f>
        <v>0</v>
      </c>
      <c r="D31" s="90" t="str">
        <f>0.035*(MAX(D18,D19) +D28+D29+D30)</f>
        <v>0</v>
      </c>
      <c r="E31" s="90" t="str">
        <f>SUM(C31:D31)</f>
        <v>0</v>
      </c>
    </row>
    <row r="32" spans="1:9">
      <c r="B32" s="83" t="s">
        <v>36</v>
      </c>
      <c r="C32" s="90" t="str">
        <f>SUM(C28:C31)</f>
        <v>0</v>
      </c>
      <c r="D32" s="90" t="str">
        <f>SUM(D28:D31)</f>
        <v>0</v>
      </c>
      <c r="E32" s="90" t="str">
        <f>SUM(E28:E31)</f>
        <v>0</v>
      </c>
    </row>
    <row r="37" spans="1:9">
      <c r="B37" s="84" t="s">
        <v>110</v>
      </c>
      <c r="C37" s="83"/>
      <c r="D37" s="83"/>
      <c r="E37" s="83"/>
    </row>
    <row r="40" spans="1:9">
      <c r="B40" s="83" t="s">
        <v>111</v>
      </c>
      <c r="C40" s="90" t="str">
        <f>C13*E40</f>
        <v>0</v>
      </c>
      <c r="D40" s="90" t="str">
        <f>D13*E40</f>
        <v>0</v>
      </c>
      <c r="E40" s="90" t="str">
        <f>IF(E7&lt;1, ROUNDUP(I7*0.4, 0), ROUNDUP(I7*0.4*E7, 0))</f>
        <v>0</v>
      </c>
    </row>
    <row r="41" spans="1:9">
      <c r="B41"/>
    </row>
    <row r="43" spans="1:9">
      <c r="B43" s="83" t="s">
        <v>111</v>
      </c>
      <c r="C43" s="83" t="s">
        <v>49</v>
      </c>
      <c r="D43" s="83" t="s">
        <v>50</v>
      </c>
      <c r="E43" s="83" t="s">
        <v>89</v>
      </c>
    </row>
    <row r="44" spans="1:9">
      <c r="B44" s="83" t="s">
        <v>112</v>
      </c>
      <c r="C44" s="90" t="str">
        <f>SUM(C15,C40,C32,(C26*C10))</f>
        <v>0</v>
      </c>
      <c r="D44" s="90" t="str">
        <f>SUM(D15,D40,D32,(D26*D10))</f>
        <v>0</v>
      </c>
      <c r="E44" s="90" t="str">
        <f>SUM(C44:D44)</f>
        <v>0</v>
      </c>
    </row>
    <row r="45" spans="1:9">
      <c r="B45" s="83" t="s">
        <v>45</v>
      </c>
      <c r="C45" s="83">
        <v>160</v>
      </c>
      <c r="D45" s="83">
        <v>240</v>
      </c>
      <c r="E45" s="83"/>
    </row>
    <row r="46" spans="1:9">
      <c r="B46" s="83" t="s">
        <v>113</v>
      </c>
      <c r="C46" s="90" t="str">
        <f>ROUND(SUM(C44/C45),2)</f>
        <v>0</v>
      </c>
      <c r="D46" s="90" t="str">
        <f>ROUND(SUM(D44/D45),2)</f>
        <v>0</v>
      </c>
      <c r="E46" s="83"/>
    </row>
    <row r="47" spans="1:9">
      <c r="B47" s="83" t="s">
        <v>114</v>
      </c>
      <c r="C47" s="94" t="str">
        <f>ROUND(C46*3.7,2)</f>
        <v>0</v>
      </c>
      <c r="D47" s="94" t="str">
        <f>ROUND(D46*3.7,2)</f>
        <v>0</v>
      </c>
      <c r="E47" s="8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2022-02-19T15:43:21-05:00</dcterms:created>
  <dcterms:modified xsi:type="dcterms:W3CDTF">2024-08-17T13:43:18-05:00</dcterms:modified>
  <dc:title/>
  <dc:description/>
  <dc:subject/>
  <cp:keywords/>
  <cp:category/>
</cp:coreProperties>
</file>