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<sst xmlns="http://schemas.openxmlformats.org/spreadsheetml/2006/main" uniqueCount="121">
  <si>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</si>
  <si>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</si>
  <si>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</si>
  <si>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</si>
  <si>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</si>
  <si>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</si>
  <si>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</si>
  <si>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</si>
  <si>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</si>
  <si>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</si>
  <si>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</si>
  <si>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300 Kg</t>
  </si>
  <si>
    <t>DNI/RUC:</t>
  </si>
  <si>
    <t>ORIGEN:</t>
  </si>
  <si>
    <t>CHINA</t>
  </si>
  <si>
    <t>MEDIDA:</t>
  </si>
  <si>
    <t>TELEFONO:</t>
  </si>
  <si>
    <t>51 906 118 935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</si>
  <si>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</si>
  <si>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</si>
  <si>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</si>
  <si>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</si>
  <si>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</si>
  <si>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</si>
  <si>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</si>
  <si>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</si>
  <si>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</si>
  <si>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</si>
  <si>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</si>
  <si>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</si>
  <si>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</si>
  <si>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$0
        ☑️Impuestos: $436.7
        ☑️ Total: $436.7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</si>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</sst>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10518506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'2'!L7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'2'!L31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37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61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63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64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65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66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67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68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69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70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71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72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73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74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77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80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84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90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92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93</v>
      </c>
      <c r="C3" s="74"/>
      <c r="D3" s="74"/>
      <c r="E3" s="74"/>
      <c r="F3" s="74"/>
      <c r="G3" s="74"/>
    </row>
    <row r="5" spans="1:16">
      <c r="B5" s="78" t="s">
        <v>94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95</v>
      </c>
    </row>
    <row r="6" spans="1:16">
      <c r="B6" s="74" t="s">
        <v>96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300</v>
      </c>
      <c r="O6" s="76" t="s">
        <v>97</v>
      </c>
      <c r="P6" s="76" t="s">
        <v>98</v>
      </c>
    </row>
    <row r="7" spans="1:16">
      <c r="B7" s="74" t="s">
        <v>99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1</v>
      </c>
      <c r="O7" s="77" t="s">
        <v>19</v>
      </c>
      <c r="P7" s="77"/>
    </row>
    <row r="8" spans="1:16">
      <c r="B8" s="74" t="s">
        <v>100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102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105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106</v>
      </c>
      <c r="C14" s="81" t="str">
        <f>L14*C13</f>
        <v>0</v>
      </c>
      <c r="D14" s="81" t="str">
        <f>L14*D13</f>
        <v>0</v>
      </c>
      <c r="E14" s="81" t="str">
        <f>L14*E13</f>
        <v>0</v>
      </c>
      <c r="F14" s="81" t="str">
        <f>L14*F13</f>
        <v>0</v>
      </c>
      <c r="G14" s="81" t="str">
        <f>L14*G13</f>
        <v>0</v>
      </c>
      <c r="H14" s="81" t="str">
        <f>L14*H13</f>
        <v>0</v>
      </c>
      <c r="I14" s="81" t="str">
        <f>L14*I13</f>
        <v>0</v>
      </c>
      <c r="J14" s="81" t="str">
        <f>L14*J13</f>
        <v>0</v>
      </c>
      <c r="K14" s="81" t="str">
        <f>L14*K13</f>
        <v>0</v>
      </c>
      <c r="L14" s="86" t="str">
        <f>IF(L7&lt;1, P7*0.6, P7*0.6*L7)</f>
        <v>0</v>
      </c>
    </row>
    <row r="15" spans="1:16">
      <c r="B15" s="74" t="s">
        <v>107</v>
      </c>
      <c r="C15" s="81" t="str">
        <f>C11+C14</f>
        <v>0</v>
      </c>
      <c r="D15" s="81" t="str">
        <f>D11+D14</f>
        <v>0</v>
      </c>
      <c r="E15" s="81" t="str">
        <f>E11+E14</f>
        <v>0</v>
      </c>
      <c r="F15" s="81" t="str">
        <f>F11+F14</f>
        <v>0</v>
      </c>
      <c r="G15" s="81" t="str">
        <f>G11+G14</f>
        <v>0</v>
      </c>
      <c r="H15" s="81" t="str">
        <f>H11+H14</f>
        <v>0</v>
      </c>
      <c r="I15" s="81" t="str">
        <f>I11+I14</f>
        <v>0</v>
      </c>
      <c r="J15" s="81" t="str">
        <f>J11+J14</f>
        <v>0</v>
      </c>
      <c r="K15" s="81" t="str">
        <f>K11+K14</f>
        <v>0</v>
      </c>
      <c r="L15" s="86" t="str">
        <f>SUM(C15:K15)</f>
        <v>0</v>
      </c>
    </row>
    <row r="16" spans="1:16">
      <c r="B16" s="79" t="s">
        <v>108</v>
      </c>
      <c r="C16" s="81" t="str">
        <f>C12+C14</f>
        <v>0</v>
      </c>
      <c r="D16" s="81" t="str">
        <f>D12+D14</f>
        <v>0</v>
      </c>
      <c r="E16" s="81" t="str">
        <f>E12+E14</f>
        <v>0</v>
      </c>
      <c r="F16" s="81" t="str">
        <f>F12+F14</f>
        <v>0</v>
      </c>
      <c r="G16" s="81" t="str">
        <f>G12+G14</f>
        <v>0</v>
      </c>
      <c r="H16" s="81" t="str">
        <f>H12+H14</f>
        <v>0</v>
      </c>
      <c r="I16" s="81" t="str">
        <f>I12+I14</f>
        <v>0</v>
      </c>
      <c r="J16" s="81" t="str">
        <f>J12+J14</f>
        <v>0</v>
      </c>
      <c r="K16" s="81" t="str">
        <f>K12+K14</f>
        <v>0</v>
      </c>
      <c r="L16" s="86" t="str">
        <f>SUM(C16:K16)</f>
        <v>0</v>
      </c>
    </row>
    <row r="17" spans="1:16">
      <c r="B17" s="74" t="s">
        <v>109</v>
      </c>
      <c r="C17" s="81" t="str">
        <f>IF(L15&gt;5000,100*C13,50*C13)</f>
        <v>0</v>
      </c>
      <c r="D17" s="81" t="str">
        <f>IF(L15&gt;5000,100*D13,50*D13)</f>
        <v>0</v>
      </c>
      <c r="E17" s="81" t="str">
        <f>IF(L15&gt;5000,100*E13,50*E13)</f>
        <v>0</v>
      </c>
      <c r="F17" s="81" t="str">
        <f>IF(L15&gt;5000,100*F13,50*F13)</f>
        <v>0</v>
      </c>
      <c r="G17" s="81" t="str">
        <f>IF(L15&gt;5000,100*G13,50*G13)</f>
        <v>0</v>
      </c>
      <c r="H17" s="81" t="str">
        <f>IF(L15&gt;5000,100*H13,50*H13)</f>
        <v>0</v>
      </c>
      <c r="I17" s="81" t="str">
        <f>IF(L15&gt;5000,100*I13,50*I13)</f>
        <v>0</v>
      </c>
      <c r="J17" s="81" t="str">
        <f>IF(L15&gt;5000,100*J13,50*J13)</f>
        <v>0</v>
      </c>
      <c r="K17" s="81" t="str">
        <f>IF(L15&gt;5000,100*K13,50*K13)</f>
        <v>0</v>
      </c>
      <c r="L17" s="86" t="str">
        <f>SUM(C17:K17)</f>
        <v>0</v>
      </c>
    </row>
    <row r="18" spans="1:16">
      <c r="B18" s="74" t="s">
        <v>110</v>
      </c>
      <c r="C18" s="81" t="str">
        <f>C15+C17</f>
        <v>0</v>
      </c>
      <c r="D18" s="81" t="str">
        <f>D15+D17</f>
        <v>0</v>
      </c>
      <c r="E18" s="81" t="str">
        <f>E15+E17</f>
        <v>0</v>
      </c>
      <c r="F18" s="81" t="str">
        <f>F15+F17</f>
        <v>0</v>
      </c>
      <c r="G18" s="81" t="str">
        <f>G15+G17</f>
        <v>0</v>
      </c>
      <c r="H18" s="81" t="str">
        <f>H15+H17</f>
        <v>0</v>
      </c>
      <c r="I18" s="81" t="str">
        <f>I15+I17</f>
        <v>0</v>
      </c>
      <c r="J18" s="81" t="str">
        <f>J15+J17</f>
        <v>0</v>
      </c>
      <c r="K18" s="81" t="str">
        <f>K15+K17</f>
        <v>0</v>
      </c>
      <c r="L18" s="86" t="str">
        <f>SUM(C18:K18)</f>
        <v>0</v>
      </c>
    </row>
    <row r="19" spans="1:16">
      <c r="B19" s="79" t="s">
        <v>111</v>
      </c>
      <c r="C19" s="81" t="str">
        <f>C16+C17</f>
        <v>0</v>
      </c>
      <c r="D19" s="81" t="str">
        <f>D16+D17</f>
        <v>0</v>
      </c>
      <c r="E19" s="81" t="str">
        <f>E16+E17</f>
        <v>0</v>
      </c>
      <c r="F19" s="81" t="str">
        <f>F16+F17</f>
        <v>0</v>
      </c>
      <c r="G19" s="81" t="str">
        <f>G16+G17</f>
        <v>0</v>
      </c>
      <c r="H19" s="81" t="str">
        <f>H16+H17</f>
        <v>0</v>
      </c>
      <c r="I19" s="81" t="str">
        <f>I16+I17</f>
        <v>0</v>
      </c>
      <c r="J19" s="81" t="str">
        <f>J16+J17</f>
        <v>0</v>
      </c>
      <c r="K19" s="81" t="str">
        <f>K16+K17</f>
        <v>0</v>
      </c>
      <c r="L19" s="86" t="str">
        <f>SUM(C19:K19)</f>
        <v>0</v>
      </c>
    </row>
    <row r="23" spans="1:16">
      <c r="B23" s="75" t="s">
        <v>112</v>
      </c>
      <c r="C23" s="74"/>
      <c r="D23" s="74"/>
      <c r="E23" s="74"/>
    </row>
    <row r="26" spans="1:16">
      <c r="B26" s="74" t="s">
        <v>113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116</v>
      </c>
      <c r="C37" s="74"/>
      <c r="D37" s="74"/>
      <c r="E37" s="74"/>
    </row>
    <row r="40" spans="1:16">
      <c r="B40" s="74" t="s">
        <v>117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P7*0.4,P7*0.4*L7)</f>
        <v>0</v>
      </c>
    </row>
    <row r="41" spans="1:16">
      <c r="B41"/>
    </row>
    <row r="43" spans="1:16">
      <c r="B43" s="74" t="s">
        <v>117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95</v>
      </c>
    </row>
    <row r="44" spans="1:16">
      <c r="B44" s="74" t="s">
        <v>118</v>
      </c>
      <c r="C44" s="81" t="str">
        <f>SUM(C15,C40,C32,(C26))</f>
        <v>0</v>
      </c>
      <c r="D44" s="81" t="str">
        <f>SUM(D15,D40,D32,(D26))</f>
        <v>0</v>
      </c>
      <c r="E44" s="81" t="str">
        <f>SUM(E15,E40,E32,(E26))</f>
        <v>0</v>
      </c>
      <c r="F44" s="81" t="str">
        <f>SUM(F15,F40,F32,(F26))</f>
        <v>0</v>
      </c>
      <c r="G44" s="81" t="str">
        <f>SUM(G15,G40,G32,(G26))</f>
        <v>0</v>
      </c>
      <c r="H44" s="81" t="str">
        <f>SUM(H15,H40,H32,(H26))</f>
        <v>0</v>
      </c>
      <c r="I44" s="81" t="str">
        <f>SUM(I15,I40,I32,(I26))</f>
        <v>0</v>
      </c>
      <c r="J44" s="81" t="str">
        <f>SUM(J15,J40,J32,(J26))</f>
        <v>0</v>
      </c>
      <c r="K44" s="81" t="str">
        <f>SUM(K15,K40,K32,(K26))</f>
        <v>0</v>
      </c>
      <c r="L44" s="81" t="str">
        <f>SUM(C44:K44)</f>
        <v>0</v>
      </c>
    </row>
    <row r="45" spans="1:16">
      <c r="B45" s="74" t="s">
        <v>46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119</v>
      </c>
      <c r="C46" s="81" t="str">
        <f>SUM(C44/C45)</f>
        <v>0</v>
      </c>
      <c r="D46" s="81" t="str">
        <f>SUM(D44/D45)</f>
        <v>0</v>
      </c>
      <c r="E46" s="81" t="str">
        <f>SUM(E44/E45)</f>
        <v>0</v>
      </c>
      <c r="F46" s="81" t="str">
        <f>SUM(F44/F45)</f>
        <v>0</v>
      </c>
      <c r="G46" s="81" t="str">
        <f>SUM(G44/G45)</f>
        <v>0</v>
      </c>
      <c r="H46" s="81" t="str">
        <f>SUM(H44/H45)</f>
        <v>0</v>
      </c>
      <c r="I46" s="81" t="str">
        <f>SUM(I44/I45)</f>
        <v>0</v>
      </c>
      <c r="J46" s="81" t="str">
        <f>SUM(J44/J45)</f>
        <v>0</v>
      </c>
      <c r="K46" s="81" t="str">
        <f>SUM(K44/K45)</f>
        <v>0</v>
      </c>
      <c r="L46" s="74"/>
    </row>
    <row r="47" spans="1:16">
      <c r="B47" s="74" t="s">
        <v>120</v>
      </c>
      <c r="C47" s="85" t="str">
        <f>C46*3.7</f>
        <v>0</v>
      </c>
      <c r="D47" s="85" t="str">
        <f>D46*3.7</f>
        <v>0</v>
      </c>
      <c r="E47" s="85" t="str">
        <f>E46*3.7</f>
        <v>0</v>
      </c>
      <c r="F47" s="85" t="str">
        <f>F46*3.7</f>
        <v>0</v>
      </c>
      <c r="G47" s="85" t="str">
        <f>G46*3.7</f>
        <v>0</v>
      </c>
      <c r="H47" s="85" t="str">
        <f>H46*3.7</f>
        <v>0</v>
      </c>
      <c r="I47" s="85" t="str">
        <f>I46*3.7</f>
        <v>0</v>
      </c>
      <c r="J47" s="85" t="str">
        <f>J46*3.7</f>
        <v>0</v>
      </c>
      <c r="K47" s="85" t="str">
        <f>K46*3.7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