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'1'!$A$1:$M$105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<sst xmlns="http://schemas.openxmlformats.org/spreadsheetml/2006/main" uniqueCount="121">
  <si>
    <t>PRO MUNDO COMEX S.A.C.</t>
  </si>
  <si>
    <t xml:space="preserve">         RUC: 20612452432</t>
  </si>
  <si>
    <t>COTIZACION N002</t>
  </si>
  <si>
    <t>NOMBRE:</t>
  </si>
  <si>
    <t>Percy Sullca Tito</t>
  </si>
  <si>
    <t>SERVICIO:</t>
  </si>
  <si>
    <t>CARGA CONSOLIDADA</t>
  </si>
  <si>
    <t>N° CAJAS:</t>
  </si>
  <si>
    <t>APELLIDO:</t>
  </si>
  <si>
    <t>FECHA:</t>
  </si>
  <si>
    <t>PESO:</t>
  </si>
  <si>
    <t>2.7 Tn</t>
  </si>
  <si>
    <t>DNI/RUC:</t>
  </si>
  <si>
    <t>ORIGEN:</t>
  </si>
  <si>
    <t>CHINA</t>
  </si>
  <si>
    <t>MEDIDA:</t>
  </si>
  <si>
    <t>TELEFONO:</t>
  </si>
  <si>
    <t>972 896 791</t>
  </si>
  <si>
    <t>CLIENTE:</t>
  </si>
  <si>
    <t>NUEVO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</si>
  <si>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</si>
  <si>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</si>
  <si>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</si>
  <si>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</si>
  <si>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</si>
  <si>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</si>
  <si>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</si>
  <si>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</si>
  <si>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</si>
  <si>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</si>
  <si>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</si>
  <si>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Percy Sullca Tito 😁 un gusto saludarte!
        A continuación te envío la cotización final de tu importación📋📦.
        🙋‍♂️ PAGO PENDIENTE :
        ☑️Costo CBM: $445.5
        ☑️Impuestos: $538.09
        ☑️ Total: $983.59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</si>
  <si>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</si>
  <si>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</si>
  <si>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</si>
  <si>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</si>
  <si>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</si>
  <si>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</si>
  <si>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</si>
  <si>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</si>
  <si>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</si>
  <si>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</si>
  <si>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</si>
  <si>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</si>
  <si>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</si>
  <si>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</si>
  <si>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</si>
  <si>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</si>
  <si>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</si>
  <si>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</si>
  <si>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SOPORTE DE CAMPANA DE TAMBOR</t>
  </si>
  <si>
    <t>PANDERETA PARA TAROLA DE BATERIA</t>
  </si>
  <si>
    <t>MAZO PARA PEDAL DE BOMBO MODELO 1</t>
  </si>
  <si>
    <t>MAZO PARA PEDAL DE BOMBO MODELO 2</t>
  </si>
  <si>
    <t>SOPORTE PARA BAQUETAS</t>
  </si>
  <si>
    <t>ARO DE TAMBOR PARA BATERÍA</t>
  </si>
  <si>
    <t>BAQUETAS PARA BATERIA</t>
  </si>
  <si>
    <t>GUARDAFANDO DELANTERO PARA CAMIÓN</t>
  </si>
  <si>
    <t>BOLSO PARA MUJER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</si>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</sst>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tn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9.png"/><Relationship Id="rId3" Type="http://schemas.openxmlformats.org/officeDocument/2006/relationships/image" Target="../media/image21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50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86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2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10518506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'2'!L7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'2'!L11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'2'!L14 + '2'!L17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MAX('2'!C27:K27)</f>
        <v>0</v>
      </c>
      <c r="K20" s="14" t="str">
        <f>'2'!L28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'2'!L29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'2'!L30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'2'!L31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IF('2'!P7&lt;1, '2'!P7*J11, '2'!P7*J11)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57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58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3" t="s">
        <v>37</v>
      </c>
      <c r="C45" s="92"/>
      <c r="D45" s="92"/>
      <c r="E45" s="92"/>
      <c r="F45" s="93" t="str">
        <f>SUM(F36:F44)</f>
        <v>0</v>
      </c>
      <c r="G45" s="64"/>
      <c r="H45" s="64"/>
      <c r="I45" s="64"/>
      <c r="J45" s="94" t="str">
        <f>SUM(J36:J44)</f>
        <v>0</v>
      </c>
      <c r="K45" s="64"/>
      <c r="L45" s="64"/>
    </row>
    <row r="46" spans="1:14" customHeight="1" ht="18">
      <c r="B4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 customHeight="1" ht="18">
      <c r="B48" s="64" t="s">
        <v>61</v>
      </c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4" customHeight="1" ht="18">
      <c r="B49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4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</row>
    <row r="51" spans="1:14" customHeight="1" ht="9">
      <c r="B51" s="38"/>
      <c r="C51" s="38"/>
      <c r="E51" s="38"/>
      <c r="F51" s="38"/>
      <c r="G51" s="38"/>
      <c r="H51" s="38"/>
      <c r="I51" s="38"/>
      <c r="J51" s="38"/>
      <c r="K51" s="38"/>
      <c r="L51" s="38"/>
      <c r="M51" s="38"/>
    </row>
    <row r="52" spans="1:14" customHeight="1" ht="31.8">
      <c r="B52" s="38"/>
      <c r="C52" s="38"/>
      <c r="D52" s="37" t="s">
        <v>0</v>
      </c>
      <c r="E52" s="37"/>
      <c r="F52" s="37"/>
      <c r="G52" s="37"/>
      <c r="H52" s="37"/>
      <c r="I52" s="37"/>
      <c r="J52" s="37"/>
      <c r="K52" s="37"/>
      <c r="L52" s="37"/>
      <c r="M52" s="37"/>
    </row>
    <row r="53" spans="1:14" customHeight="1" ht="21">
      <c r="B53" s="38"/>
      <c r="C53" s="38"/>
      <c r="D53" s="53" t="s">
        <v>63</v>
      </c>
      <c r="E53" s="53"/>
      <c r="F53" s="53"/>
      <c r="G53" s="53"/>
      <c r="H53" s="53"/>
      <c r="I53" s="53"/>
    </row>
    <row r="54" spans="1:14">
      <c r="B54" s="38"/>
      <c r="C54" s="38"/>
    </row>
    <row r="55" spans="1:14">
      <c r="B55" s="38"/>
      <c r="C55" s="38"/>
    </row>
    <row r="56" spans="1:14" customHeight="1" ht="21">
      <c r="B56" s="70" t="s">
        <v>64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</row>
    <row r="58" spans="1:14">
      <c r="B58" s="71" t="s">
        <v>65</v>
      </c>
      <c r="C58" s="71"/>
      <c r="D58" s="71"/>
      <c r="E58" s="71"/>
      <c r="F58" s="71"/>
      <c r="G58" s="71"/>
      <c r="H58" s="71"/>
      <c r="I58" s="71"/>
      <c r="J58" s="71"/>
      <c r="K58" s="71"/>
      <c r="L58" s="71"/>
    </row>
    <row r="59" spans="1:14">
      <c r="B59" s="71" t="s">
        <v>66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49" t="s">
        <v>67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</row>
    <row r="61" spans="1:14">
      <c r="B61" s="71" t="s">
        <v>68</v>
      </c>
      <c r="C61" s="71"/>
      <c r="D61" s="71"/>
      <c r="E61" s="71"/>
      <c r="F61" s="71"/>
      <c r="G61" s="71"/>
      <c r="H61" s="71"/>
      <c r="I61" s="71"/>
      <c r="J61" s="71"/>
      <c r="K61" s="71"/>
      <c r="L61" s="71"/>
    </row>
    <row r="62" spans="1:14">
      <c r="B62" s="71" t="s">
        <v>69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49" t="s">
        <v>70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spans="1:14">
      <c r="B64" s="71" t="s">
        <v>71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72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73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74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75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76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77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78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79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71" t="s">
        <v>80</v>
      </c>
      <c r="C73" s="71"/>
      <c r="D73" s="71"/>
      <c r="E73" s="71"/>
      <c r="F73" s="71"/>
      <c r="G73" s="71"/>
      <c r="H73" s="71"/>
      <c r="I73" s="71"/>
      <c r="J73" s="71"/>
      <c r="K73" s="71"/>
      <c r="L73" s="71"/>
    </row>
    <row r="74" spans="1:14">
      <c r="B74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82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83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67" t="s">
        <v>84</v>
      </c>
      <c r="C77" s="67"/>
      <c r="D77" s="67"/>
      <c r="E77" s="67"/>
      <c r="F77" s="67"/>
      <c r="G77" s="67"/>
      <c r="H77" s="67"/>
      <c r="I77" s="67"/>
      <c r="J77" s="67"/>
      <c r="K77" s="67"/>
      <c r="L77" s="67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86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88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90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4" spans="1:14">
      <c r="A84" s="32"/>
      <c r="B84" s="71" t="s">
        <v>91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A85" s="32"/>
      <c r="B85" s="72" t="s">
        <v>92</v>
      </c>
      <c r="C85" s="72"/>
      <c r="D85" s="72"/>
      <c r="E85" s="72"/>
      <c r="F85" s="72"/>
      <c r="G85" s="72"/>
      <c r="H85" s="72"/>
      <c r="I85" s="72"/>
      <c r="J85" s="72"/>
      <c r="K85" s="72"/>
      <c r="L85" s="72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>
      <c r="C92" s="38"/>
      <c r="D92" s="38"/>
      <c r="E92" s="38"/>
      <c r="F92" s="38"/>
      <c r="G92" s="38"/>
      <c r="H92" s="38"/>
      <c r="I92" s="38"/>
    </row>
    <row r="93" spans="1:14">
      <c r="C93" s="38"/>
      <c r="D93" s="38"/>
      <c r="E93" s="38"/>
      <c r="F93" s="38"/>
      <c r="G93" s="38"/>
      <c r="H93" s="38"/>
      <c r="I93" s="38"/>
    </row>
    <row r="94" spans="1:14" customHeight="1" ht="15.6">
      <c r="C94" s="38"/>
      <c r="D94" s="38"/>
      <c r="E94" s="38"/>
      <c r="F94" s="38"/>
      <c r="G94" s="38"/>
      <c r="H94" s="38"/>
      <c r="I94" s="38"/>
    </row>
    <row r="95" spans="1:14" customHeight="1" ht="15.6">
      <c r="C95" s="38"/>
      <c r="D95" s="38"/>
      <c r="E95" s="38"/>
      <c r="F95" s="38"/>
      <c r="G95" s="38"/>
      <c r="H95" s="38"/>
      <c r="I95" s="38"/>
    </row>
    <row r="96" spans="1:14">
      <c r="C96" s="38"/>
      <c r="D96" s="38"/>
      <c r="E96" s="38"/>
      <c r="F96" s="38"/>
      <c r="G96" s="38"/>
      <c r="H96" s="38"/>
      <c r="I96" s="38"/>
    </row>
    <row r="102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5:L75"/>
    <mergeCell ref="B76:L76"/>
    <mergeCell ref="A7:C7"/>
    <mergeCell ref="I7:L7"/>
    <mergeCell ref="B60:L60"/>
    <mergeCell ref="B49:L49"/>
    <mergeCell ref="C38:E38"/>
    <mergeCell ref="K38:L38"/>
    <mergeCell ref="B58:L58"/>
    <mergeCell ref="B71:L71"/>
    <mergeCell ref="B59:L59"/>
    <mergeCell ref="G37:H37"/>
    <mergeCell ref="J11:L11"/>
    <mergeCell ref="B85:L85"/>
    <mergeCell ref="B68:L68"/>
    <mergeCell ref="B69:L69"/>
    <mergeCell ref="B70:L70"/>
    <mergeCell ref="B61:L61"/>
    <mergeCell ref="B62:L62"/>
    <mergeCell ref="B63:L63"/>
    <mergeCell ref="B64:L64"/>
    <mergeCell ref="B65:L65"/>
    <mergeCell ref="B66:L66"/>
    <mergeCell ref="B67:L67"/>
    <mergeCell ref="B72:L72"/>
    <mergeCell ref="B73:L73"/>
    <mergeCell ref="B74:L74"/>
    <mergeCell ref="B84:L84"/>
    <mergeCell ref="B83:L83"/>
    <mergeCell ref="B82:L82"/>
    <mergeCell ref="B77:L77"/>
    <mergeCell ref="B78:L78"/>
    <mergeCell ref="B79:L79"/>
    <mergeCell ref="B80:L80"/>
    <mergeCell ref="B81:L81"/>
    <mergeCell ref="B51:C55"/>
    <mergeCell ref="B19:F19"/>
    <mergeCell ref="C35:E35"/>
    <mergeCell ref="B56:L56"/>
    <mergeCell ref="B47:L47"/>
    <mergeCell ref="G38:H38"/>
    <mergeCell ref="K37:L37"/>
    <mergeCell ref="C37:E37"/>
    <mergeCell ref="B27:I27"/>
    <mergeCell ref="B23:I23"/>
    <mergeCell ref="B20:I20"/>
    <mergeCell ref="B21:I21"/>
    <mergeCell ref="B22:I22"/>
    <mergeCell ref="D52:J52"/>
    <mergeCell ref="B31:J31"/>
    <mergeCell ref="B26:I26"/>
    <mergeCell ref="B12:L12"/>
    <mergeCell ref="B13:J13"/>
    <mergeCell ref="B14:J14"/>
    <mergeCell ref="B16:J16"/>
    <mergeCell ref="B15:J15"/>
    <mergeCell ref="C87:I96"/>
    <mergeCell ref="A1:L1"/>
    <mergeCell ref="E2:L2"/>
    <mergeCell ref="D53:I53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8:L48"/>
    <mergeCell ref="B46:L46"/>
    <mergeCell ref="F11:G11"/>
    <mergeCell ref="K52:M52"/>
    <mergeCell ref="E51:M51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B45:E45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5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P47"/>
  <sheetViews>
    <sheetView tabSelected="0" workbookViewId="0" showGridLines="true" showRowColHeaders="1">
      <selection activeCell="L44" sqref="L44"/>
    </sheetView>
  </sheetViews>
  <sheetFormatPr defaultRowHeight="14.4" outlineLevelRow="0" outlineLevelCol="0"/>
  <cols>
    <col min="2" max="2" width="24.708252" bestFit="true" customWidth="true" style="0"/>
    <col min="3" max="3" width="34.134521" bestFit="true" customWidth="true" style="0"/>
    <col min="4" max="4" width="38.847656" bestFit="true" customWidth="true" style="0"/>
    <col min="5" max="5" width="39.990234" bestFit="true" customWidth="true" style="0"/>
    <col min="6" max="6" width="39.990234" bestFit="true" customWidth="true" style="0"/>
    <col min="7" max="7" width="25.85083" bestFit="true" customWidth="true" style="0"/>
    <col min="8" max="8" width="31.706543" bestFit="true" customWidth="true" style="0"/>
    <col min="9" max="9" width="25.85083" bestFit="true" customWidth="true" style="0"/>
    <col min="10" max="10" width="39.990234" bestFit="true" customWidth="true" style="0"/>
    <col min="11" max="11" width="19.995117" bestFit="true" customWidth="true" style="0"/>
    <col min="12" max="12" width="12.854004" bestFit="true" customWidth="true" style="0"/>
  </cols>
  <sheetData>
    <row r="3" spans="1:16">
      <c r="B3" s="75" t="s">
        <v>93</v>
      </c>
      <c r="C3" s="74"/>
      <c r="D3" s="74"/>
      <c r="E3" s="74"/>
      <c r="F3" s="74"/>
      <c r="G3" s="74"/>
    </row>
    <row r="5" spans="1:16">
      <c r="B5" s="78" t="s">
        <v>94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95</v>
      </c>
    </row>
    <row r="6" spans="1:16">
      <c r="B6" s="74" t="s">
        <v>96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82">
        <v>2.7</v>
      </c>
      <c r="O6" s="76" t="s">
        <v>97</v>
      </c>
      <c r="P6" s="76" t="s">
        <v>98</v>
      </c>
    </row>
    <row r="7" spans="1:16">
      <c r="B7" s="74" t="s">
        <v>99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83">
        <v>2</v>
      </c>
      <c r="O7" s="77" t="s">
        <v>19</v>
      </c>
      <c r="P7" s="77">
        <v>375</v>
      </c>
    </row>
    <row r="8" spans="1:16">
      <c r="B8" s="74" t="s">
        <v>100</v>
      </c>
      <c r="C8" s="81">
        <v>4</v>
      </c>
      <c r="D8" s="81">
        <v>5</v>
      </c>
      <c r="E8" s="81">
        <v>4.5</v>
      </c>
      <c r="F8" s="81">
        <v>1</v>
      </c>
      <c r="G8" s="81">
        <v>3.5</v>
      </c>
      <c r="H8" s="81">
        <v>19.076923076923</v>
      </c>
      <c r="I8" s="81">
        <v>3.4</v>
      </c>
      <c r="J8" s="81">
        <v>12.8</v>
      </c>
      <c r="K8" s="81">
        <v>6.51</v>
      </c>
      <c r="L8" s="74"/>
    </row>
    <row r="9" spans="1:16">
      <c r="B9" s="79" t="s">
        <v>101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74"/>
    </row>
    <row r="10" spans="1:16">
      <c r="B10" s="74" t="s">
        <v>102</v>
      </c>
      <c r="C10" s="74">
        <v>10</v>
      </c>
      <c r="D10" s="74">
        <v>5</v>
      </c>
      <c r="E10" s="74">
        <v>10</v>
      </c>
      <c r="F10" s="74">
        <v>12</v>
      </c>
      <c r="G10" s="74">
        <v>20</v>
      </c>
      <c r="H10" s="74">
        <v>13</v>
      </c>
      <c r="I10" s="74">
        <v>120</v>
      </c>
      <c r="J10" s="74">
        <v>5</v>
      </c>
      <c r="K10" s="74">
        <v>150</v>
      </c>
      <c r="L10" s="74" t="str">
        <f>SUM(C10:K10)</f>
        <v>0</v>
      </c>
    </row>
    <row r="11" spans="1:16">
      <c r="B11" s="74" t="s">
        <v>103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6" t="str">
        <f>SUM(C11:K11)</f>
        <v>0</v>
      </c>
    </row>
    <row r="12" spans="1:16">
      <c r="B12" s="79" t="s">
        <v>104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6" t="str">
        <f>SUM(C12:K12)</f>
        <v>0</v>
      </c>
    </row>
    <row r="13" spans="1:16">
      <c r="B13" s="74" t="s">
        <v>105</v>
      </c>
      <c r="C13" s="84" t="str">
        <f>C11/L11</f>
        <v>0</v>
      </c>
      <c r="D13" s="84" t="str">
        <f>D11/L11</f>
        <v>0</v>
      </c>
      <c r="E13" s="84" t="str">
        <f>E11/L11</f>
        <v>0</v>
      </c>
      <c r="F13" s="84" t="str">
        <f>F11/L11</f>
        <v>0</v>
      </c>
      <c r="G13" s="84" t="str">
        <f>G11/L11</f>
        <v>0</v>
      </c>
      <c r="H13" s="84" t="str">
        <f>H11/L11</f>
        <v>0</v>
      </c>
      <c r="I13" s="84" t="str">
        <f>I11/L11</f>
        <v>0</v>
      </c>
      <c r="J13" s="84" t="str">
        <f>J11/L11</f>
        <v>0</v>
      </c>
      <c r="K13" s="84" t="str">
        <f>K11/L11</f>
        <v>0</v>
      </c>
      <c r="L13" s="74"/>
    </row>
    <row r="14" spans="1:16">
      <c r="B14" s="74" t="s">
        <v>106</v>
      </c>
      <c r="C14" s="81" t="str">
        <f>ROUNDUP(L14*C13,2)</f>
        <v>0</v>
      </c>
      <c r="D14" s="81" t="str">
        <f>ROUNDUP(L14*D13,2)</f>
        <v>0</v>
      </c>
      <c r="E14" s="81" t="str">
        <f>ROUNDUP(L14*E13,2)</f>
        <v>0</v>
      </c>
      <c r="F14" s="81" t="str">
        <f>ROUNDUP(L14*F13,2)</f>
        <v>0</v>
      </c>
      <c r="G14" s="81" t="str">
        <f>ROUNDUP(L14*G13,2)</f>
        <v>0</v>
      </c>
      <c r="H14" s="81" t="str">
        <f>ROUNDUP(L14*H13,2)</f>
        <v>0</v>
      </c>
      <c r="I14" s="81" t="str">
        <f>ROUNDUP(L14*I13,2)</f>
        <v>0</v>
      </c>
      <c r="J14" s="81" t="str">
        <f>ROUNDUP(L14*J13,2)</f>
        <v>0</v>
      </c>
      <c r="K14" s="81" t="str">
        <f>ROUNDUP(L14*K13,2)</f>
        <v>0</v>
      </c>
      <c r="L14" s="86" t="str">
        <f>IF(L7&lt;1, ROUNDUP(P7*0.6, 0), ROUNDUP(P7*0.6*L7, 0))</f>
        <v>0</v>
      </c>
    </row>
    <row r="15" spans="1:16">
      <c r="B15" s="74" t="s">
        <v>107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6" t="str">
        <f>SUM(C15:K15)</f>
        <v>0</v>
      </c>
    </row>
    <row r="16" spans="1:16">
      <c r="B16" s="79" t="s">
        <v>108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6" t="str">
        <f>SUM(C16:K16)</f>
        <v>0</v>
      </c>
    </row>
    <row r="17" spans="1:16">
      <c r="B17" s="74" t="s">
        <v>109</v>
      </c>
      <c r="C17" s="81" t="str">
        <f>IF(L15&gt;5000,ROUND(100*C13,2),ROUND(50*C13,2))</f>
        <v>0</v>
      </c>
      <c r="D17" s="81" t="str">
        <f>IF(L15&gt;5000,ROUND(100*D13,2),ROUND(50*D13,2))</f>
        <v>0</v>
      </c>
      <c r="E17" s="81" t="str">
        <f>IF(L15&gt;5000,ROUND(100*E13,2),ROUND(50*E13,2))</f>
        <v>0</v>
      </c>
      <c r="F17" s="81" t="str">
        <f>IF(L15&gt;5000,ROUND(100*F13,2),ROUND(50*F13,2))</f>
        <v>0</v>
      </c>
      <c r="G17" s="81" t="str">
        <f>IF(L15&gt;5000,ROUND(100*G13,2),ROUND(50*G13,2))</f>
        <v>0</v>
      </c>
      <c r="H17" s="81" t="str">
        <f>IF(L15&gt;5000,ROUND(100*H13,2),ROUND(50*H13,2))</f>
        <v>0</v>
      </c>
      <c r="I17" s="81" t="str">
        <f>IF(L15&gt;5000,ROUND(100*I13,2),ROUND(50*I13,2))</f>
        <v>0</v>
      </c>
      <c r="J17" s="81" t="str">
        <f>IF(L15&gt;5000,ROUND(100*J13,2),ROUND(50*J13,2))</f>
        <v>0</v>
      </c>
      <c r="K17" s="81" t="str">
        <f>IF(L15&gt;5000,ROUND(100*K13,2),ROUND(50*K13,2))</f>
        <v>0</v>
      </c>
      <c r="L17" s="86" t="str">
        <f>SUM(C17:K17)</f>
        <v>0</v>
      </c>
    </row>
    <row r="18" spans="1:16">
      <c r="B18" s="74" t="s">
        <v>110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6" t="str">
        <f>SUM(C18:K18)</f>
        <v>0</v>
      </c>
    </row>
    <row r="19" spans="1:16">
      <c r="B19" s="79" t="s">
        <v>111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6" t="str">
        <f>SUM(C19:K19)</f>
        <v>0</v>
      </c>
    </row>
    <row r="23" spans="1:16">
      <c r="B23" s="75" t="s">
        <v>112</v>
      </c>
      <c r="C23" s="74"/>
      <c r="D23" s="74"/>
      <c r="E23" s="74"/>
    </row>
    <row r="26" spans="1:16">
      <c r="B26" s="74" t="s">
        <v>113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 t="str">
        <f>SUM(C26:K26)</f>
        <v>0</v>
      </c>
    </row>
    <row r="27" spans="1:16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0.0063</v>
      </c>
      <c r="L27" s="84" t="str">
        <f>SUM(C27:K27)</f>
        <v>0</v>
      </c>
    </row>
    <row r="28" spans="1:16">
      <c r="B28" s="74" t="s">
        <v>114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SUM(C28:K28)</f>
        <v>0</v>
      </c>
    </row>
    <row r="29" spans="1:16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SUM(C29:K29)</f>
        <v>0</v>
      </c>
    </row>
    <row r="30" spans="1:16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SUM(C30:K30)</f>
        <v>0</v>
      </c>
    </row>
    <row r="31" spans="1:16">
      <c r="B31" s="74" t="s">
        <v>115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SUM(C31:K31)</f>
        <v>0</v>
      </c>
    </row>
    <row r="32" spans="1:16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</row>
    <row r="37" spans="1:16">
      <c r="B37" s="75" t="s">
        <v>116</v>
      </c>
      <c r="C37" s="74"/>
      <c r="D37" s="74"/>
      <c r="E37" s="74"/>
    </row>
    <row r="40" spans="1:16">
      <c r="B40" s="74" t="s">
        <v>117</v>
      </c>
      <c r="C40" s="81" t="str">
        <f>C13*L40</f>
        <v>0</v>
      </c>
      <c r="D40" s="81" t="str">
        <f>D13*L40</f>
        <v>0</v>
      </c>
      <c r="E40" s="81" t="str">
        <f>E13*L40</f>
        <v>0</v>
      </c>
      <c r="F40" s="81" t="str">
        <f>F13*L40</f>
        <v>0</v>
      </c>
      <c r="G40" s="81" t="str">
        <f>G13*L40</f>
        <v>0</v>
      </c>
      <c r="H40" s="81" t="str">
        <f>H13*L40</f>
        <v>0</v>
      </c>
      <c r="I40" s="81" t="str">
        <f>I13*L40</f>
        <v>0</v>
      </c>
      <c r="J40" s="81" t="str">
        <f>J13*L40</f>
        <v>0</v>
      </c>
      <c r="K40" s="81" t="str">
        <f>K13*L40</f>
        <v>0</v>
      </c>
      <c r="L40" s="81" t="str">
        <f>IF(L7&lt;1, ROUNDUP(P7*0.4, 0), ROUNDUP(P7*0.4*L7, 0))</f>
        <v>0</v>
      </c>
    </row>
    <row r="41" spans="1:16">
      <c r="B41"/>
    </row>
    <row r="43" spans="1:16">
      <c r="B43" s="74" t="s">
        <v>117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95</v>
      </c>
    </row>
    <row r="44" spans="1:16">
      <c r="B44" s="74" t="s">
        <v>118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SUM(C44:K44)</f>
        <v>0</v>
      </c>
    </row>
    <row r="45" spans="1:16">
      <c r="B45" s="74" t="s">
        <v>46</v>
      </c>
      <c r="C45" s="74">
        <v>10</v>
      </c>
      <c r="D45" s="74">
        <v>5</v>
      </c>
      <c r="E45" s="74">
        <v>10</v>
      </c>
      <c r="F45" s="74">
        <v>12</v>
      </c>
      <c r="G45" s="74">
        <v>20</v>
      </c>
      <c r="H45" s="74">
        <v>13</v>
      </c>
      <c r="I45" s="74">
        <v>120</v>
      </c>
      <c r="J45" s="74">
        <v>5</v>
      </c>
      <c r="K45" s="74">
        <v>150</v>
      </c>
      <c r="L45" s="74"/>
    </row>
    <row r="46" spans="1:16">
      <c r="B46" s="74" t="s">
        <v>119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74"/>
    </row>
    <row r="47" spans="1:16">
      <c r="B47" s="74" t="s">
        <v>120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