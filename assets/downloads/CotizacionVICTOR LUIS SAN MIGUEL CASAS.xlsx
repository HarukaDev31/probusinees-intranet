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'1'!$A$1:$M$106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<sst xmlns="http://schemas.openxmlformats.org/spreadsheetml/2006/main" uniqueCount="121">
  <si>
    <t>PRO MUNDO COMEX S.A.C.</t>
  </si>
  <si>
    <t xml:space="preserve">         RUC: 20612452432</t>
  </si>
  <si>
    <t>COTIZACION N002</t>
  </si>
  <si>
    <t>NOMBRE:</t>
  </si>
  <si>
    <t>VICTOR LUIS SAN MIGUEL CASAS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</si>
  <si>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</si>
  <si>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</si>
  <si>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</si>
  <si>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</si>
  <si>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</si>
  <si>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</si>
  <si>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</si>
  <si>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</si>
  <si>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</si>
  <si>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</si>
  <si>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</si>
  <si>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</si>
  <si>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</si>
  <si>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</si>
  <si>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</si>
  <si>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</si>
  <si>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</si>
  <si>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</si>
  <si>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</si>
  <si>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</si>
  <si>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</si>
  <si>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</si>
  <si>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</si>
  <si>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</si>
  <si>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</si>
  <si>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VICTOR LUIS SAN MIGUEL CASAS 😁 un gusto saludarte!
        A continuación te envío la cotización final de tu importación📋📦.
        🙋‍♂️ PAGO PENDIENTE :
        ☑️Costo CBM: $0
        ☑️Impuestos: $580.8
        ☑️ Total: $580.8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</si>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</sst>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6.png"/><Relationship Id="rId2" Type="http://schemas.openxmlformats.org/officeDocument/2006/relationships/image" Target="../media/image127.png"/><Relationship Id="rId3" Type="http://schemas.openxmlformats.org/officeDocument/2006/relationships/image" Target="../media/image228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51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87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3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5" t="str">
        <f>'2'!M7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'2'!M11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'2'!M14 + '2'!M17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MAX('2'!C27:L27)</f>
        <v>0</v>
      </c>
      <c r="K20" s="14" t="str">
        <f>'2'!M28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'2'!M29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'2'!M30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'2'!M31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IF('2'!Q7&lt;1, '2'!Q7*J11, '2'!Q7*J11)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3" t="s">
        <v>36</v>
      </c>
      <c r="C46" s="92"/>
      <c r="D46" s="92"/>
      <c r="E46" s="92"/>
      <c r="F46" s="93" t="str">
        <f>SUM(F36:F45)</f>
        <v>0</v>
      </c>
      <c r="G46" s="64"/>
      <c r="H46" s="64"/>
      <c r="I46" s="64"/>
      <c r="J46" s="94" t="str">
        <f>SUM(J36:J45)</f>
        <v>0</v>
      </c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s">
        <v>61</v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 customHeight="1" ht="18">
      <c r="B50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0" s="64"/>
      <c r="D50" s="64"/>
      <c r="E50" s="64"/>
      <c r="F50" s="64"/>
      <c r="G50" s="64"/>
      <c r="H50" s="64"/>
      <c r="I50" s="64"/>
      <c r="J50" s="64"/>
      <c r="K50" s="64"/>
      <c r="L50" s="64"/>
    </row>
    <row r="51" spans="1:14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</row>
    <row r="52" spans="1:14" customHeight="1" ht="9">
      <c r="B52" s="38"/>
      <c r="C52" s="38"/>
      <c r="E52" s="38"/>
      <c r="F52" s="38"/>
      <c r="G52" s="38"/>
      <c r="H52" s="38"/>
      <c r="I52" s="38"/>
      <c r="J52" s="38"/>
      <c r="K52" s="38"/>
      <c r="L52" s="38"/>
      <c r="M52" s="38"/>
    </row>
    <row r="53" spans="1:14" customHeight="1" ht="31.8">
      <c r="B53" s="38"/>
      <c r="C53" s="38"/>
      <c r="D53" s="37" t="s">
        <v>0</v>
      </c>
      <c r="E53" s="37"/>
      <c r="F53" s="37"/>
      <c r="G53" s="37"/>
      <c r="H53" s="37"/>
      <c r="I53" s="37"/>
      <c r="J53" s="37"/>
      <c r="K53" s="37"/>
      <c r="L53" s="37"/>
      <c r="M53" s="37"/>
    </row>
    <row r="54" spans="1:14" customHeight="1" ht="21">
      <c r="B54" s="38"/>
      <c r="C54" s="38"/>
      <c r="D54" s="53" t="s">
        <v>63</v>
      </c>
      <c r="E54" s="53"/>
      <c r="F54" s="53"/>
      <c r="G54" s="53"/>
      <c r="H54" s="53"/>
      <c r="I54" s="53"/>
    </row>
    <row r="55" spans="1:14">
      <c r="B55" s="38"/>
      <c r="C55" s="38"/>
    </row>
    <row r="56" spans="1:14">
      <c r="B56" s="38"/>
      <c r="C56" s="38"/>
    </row>
    <row r="57" spans="1:14" customHeight="1" ht="21">
      <c r="B57" s="70" t="s">
        <v>64</v>
      </c>
      <c r="C57" s="70"/>
      <c r="D57" s="70"/>
      <c r="E57" s="70"/>
      <c r="F57" s="70"/>
      <c r="G57" s="70"/>
      <c r="H57" s="70"/>
      <c r="I57" s="70"/>
      <c r="J57" s="70"/>
      <c r="K57" s="70"/>
      <c r="L57" s="70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71" t="s">
        <v>66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</row>
    <row r="61" spans="1:14">
      <c r="B61" s="49" t="s">
        <v>67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71" t="s">
        <v>69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</row>
    <row r="64" spans="1:14">
      <c r="B64" s="49" t="s">
        <v>70</v>
      </c>
      <c r="C64" s="49"/>
      <c r="D64" s="49"/>
      <c r="E64" s="49"/>
      <c r="F64" s="49"/>
      <c r="G64" s="49"/>
      <c r="H64" s="49"/>
      <c r="I64" s="49"/>
      <c r="J64" s="49"/>
      <c r="K64" s="49"/>
      <c r="L64" s="49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79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67" t="s">
        <v>82</v>
      </c>
      <c r="C76" s="67"/>
      <c r="D76" s="67"/>
      <c r="E76" s="67"/>
      <c r="F76" s="67"/>
      <c r="G76" s="67"/>
      <c r="H76" s="67"/>
      <c r="I76" s="67"/>
      <c r="J76" s="67"/>
      <c r="K76" s="67"/>
      <c r="L76" s="67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67" t="s">
        <v>84</v>
      </c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A84" s="32"/>
      <c r="B84" s="72" t="s">
        <v>90</v>
      </c>
      <c r="C84" s="72"/>
      <c r="D84" s="72"/>
      <c r="E84" s="72"/>
      <c r="F84" s="72"/>
      <c r="G84" s="72"/>
      <c r="H84" s="72"/>
      <c r="I84" s="72"/>
      <c r="J84" s="72"/>
      <c r="K84" s="72"/>
      <c r="L84" s="72"/>
    </row>
    <row r="85" spans="1:14">
      <c r="A85" s="32"/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A86" s="32"/>
      <c r="B86" s="72" t="s">
        <v>92</v>
      </c>
      <c r="C86" s="72"/>
      <c r="D86" s="72"/>
      <c r="E86" s="72"/>
      <c r="F86" s="72"/>
      <c r="G86" s="72"/>
      <c r="H86" s="72"/>
      <c r="I86" s="72"/>
      <c r="J86" s="72"/>
      <c r="K86" s="72"/>
      <c r="L86" s="72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 customHeight="1" ht="15.6">
      <c r="C96" s="38"/>
      <c r="D96" s="38"/>
      <c r="E96" s="38"/>
      <c r="F96" s="38"/>
      <c r="G96" s="38"/>
      <c r="H96" s="38"/>
      <c r="I96" s="38"/>
    </row>
    <row r="97" spans="1:14">
      <c r="C97" s="38"/>
      <c r="D97" s="38"/>
      <c r="E97" s="38"/>
      <c r="F97" s="38"/>
      <c r="G97" s="38"/>
      <c r="H97" s="38"/>
      <c r="I97" s="38"/>
    </row>
    <row r="103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6:L76"/>
    <mergeCell ref="B77:L77"/>
    <mergeCell ref="A7:C7"/>
    <mergeCell ref="I7:L7"/>
    <mergeCell ref="B61:L61"/>
    <mergeCell ref="B50:L50"/>
    <mergeCell ref="C38:E38"/>
    <mergeCell ref="K38:L38"/>
    <mergeCell ref="B59:L59"/>
    <mergeCell ref="B72:L72"/>
    <mergeCell ref="B60:L60"/>
    <mergeCell ref="G37:H37"/>
    <mergeCell ref="J11:L11"/>
    <mergeCell ref="B86:L86"/>
    <mergeCell ref="B69:L69"/>
    <mergeCell ref="B70:L70"/>
    <mergeCell ref="B71:L71"/>
    <mergeCell ref="B62:L62"/>
    <mergeCell ref="B63:L63"/>
    <mergeCell ref="B64:L64"/>
    <mergeCell ref="B65:L65"/>
    <mergeCell ref="B66:L66"/>
    <mergeCell ref="B67:L67"/>
    <mergeCell ref="B68:L68"/>
    <mergeCell ref="B73:L73"/>
    <mergeCell ref="B74:L74"/>
    <mergeCell ref="B75:L75"/>
    <mergeCell ref="B85:L85"/>
    <mergeCell ref="B84:L84"/>
    <mergeCell ref="B83:L83"/>
    <mergeCell ref="B78:L78"/>
    <mergeCell ref="B79:L79"/>
    <mergeCell ref="B80:L80"/>
    <mergeCell ref="B81:L81"/>
    <mergeCell ref="B82:L82"/>
    <mergeCell ref="B52:C56"/>
    <mergeCell ref="B19:F19"/>
    <mergeCell ref="C35:E35"/>
    <mergeCell ref="B57:L57"/>
    <mergeCell ref="B48:L48"/>
    <mergeCell ref="G38:H38"/>
    <mergeCell ref="K37:L37"/>
    <mergeCell ref="C37:E37"/>
    <mergeCell ref="B27:I27"/>
    <mergeCell ref="B23:I23"/>
    <mergeCell ref="B20:I20"/>
    <mergeCell ref="B21:I21"/>
    <mergeCell ref="B22:I22"/>
    <mergeCell ref="D53:J53"/>
    <mergeCell ref="B31:J31"/>
    <mergeCell ref="B26:I26"/>
    <mergeCell ref="B12:L12"/>
    <mergeCell ref="B13:J13"/>
    <mergeCell ref="B14:J14"/>
    <mergeCell ref="B16:J16"/>
    <mergeCell ref="B15:J15"/>
    <mergeCell ref="C88:I97"/>
    <mergeCell ref="A1:L1"/>
    <mergeCell ref="E2:L2"/>
    <mergeCell ref="D54:I54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9:L49"/>
    <mergeCell ref="B47:L47"/>
    <mergeCell ref="F11:G11"/>
    <mergeCell ref="K53:M53"/>
    <mergeCell ref="E52:M52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B46:E46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1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Q47"/>
  <sheetViews>
    <sheetView tabSelected="0" workbookViewId="0" showGridLines="true" showRowColHeaders="1">
      <selection activeCell="M44" sqref="M44"/>
    </sheetView>
  </sheetViews>
  <sheetFormatPr defaultRowHeight="14.4" outlineLevelRow="0" outlineLevelCol="0"/>
  <cols>
    <col min="2" max="2" width="24.708252" bestFit="true" customWidth="true" style="0"/>
    <col min="3" max="3" width="28.135986" bestFit="true" customWidth="true" style="0"/>
    <col min="4" max="4" width="28.135986" bestFit="true" customWidth="true" style="0"/>
    <col min="5" max="5" width="18.709717" bestFit="true" customWidth="true" style="0"/>
    <col min="6" max="6" width="28.135986" bestFit="true" customWidth="true" style="0"/>
    <col min="7" max="7" width="36.419678" bestFit="true" customWidth="true" style="0"/>
    <col min="8" max="8" width="17.567139" bestFit="true" customWidth="true" style="0"/>
    <col min="9" max="9" width="17.567139" bestFit="true" customWidth="true" style="0"/>
    <col min="10" max="10" width="18.709717" bestFit="true" customWidth="true" style="0"/>
    <col min="11" max="11" width="41.132813" bestFit="true" customWidth="true" style="0"/>
    <col min="12" max="12" width="24.708252" bestFit="true" customWidth="true" style="0"/>
    <col min="13" max="13" width="12.854004" bestFit="true" customWidth="true" style="0"/>
  </cols>
  <sheetData>
    <row r="3" spans="1:17">
      <c r="B3" s="75" t="s">
        <v>93</v>
      </c>
      <c r="C3" s="74"/>
      <c r="D3" s="74"/>
      <c r="E3" s="74"/>
      <c r="F3" s="74"/>
      <c r="G3" s="74"/>
    </row>
    <row r="5" spans="1:17">
      <c r="B5" s="78" t="s">
        <v>94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95</v>
      </c>
    </row>
    <row r="6" spans="1:17">
      <c r="B6" s="74" t="s">
        <v>96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82">
        <v>0</v>
      </c>
      <c r="P6" s="76" t="s">
        <v>97</v>
      </c>
      <c r="Q6" s="76" t="s">
        <v>98</v>
      </c>
    </row>
    <row r="7" spans="1:17">
      <c r="B7" s="74" t="s">
        <v>99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83"/>
      <c r="P7" s="77" t="s">
        <v>18</v>
      </c>
      <c r="Q7" s="77"/>
    </row>
    <row r="8" spans="1:17">
      <c r="B8" s="74" t="s">
        <v>100</v>
      </c>
      <c r="C8" s="81">
        <v>1.8</v>
      </c>
      <c r="D8" s="81">
        <v>1.3884615384615</v>
      </c>
      <c r="E8" s="81">
        <v>7.9</v>
      </c>
      <c r="F8" s="81">
        <v>9.2</v>
      </c>
      <c r="G8" s="81">
        <v>8.6</v>
      </c>
      <c r="H8" s="81">
        <v>4.6</v>
      </c>
      <c r="I8" s="81">
        <v>1.1285714285714</v>
      </c>
      <c r="J8" s="81">
        <v>1.2</v>
      </c>
      <c r="K8" s="81">
        <v>2.3</v>
      </c>
      <c r="L8" s="81">
        <v>0.85</v>
      </c>
      <c r="M8" s="74"/>
    </row>
    <row r="9" spans="1:17">
      <c r="B9" s="79" t="s">
        <v>101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74"/>
    </row>
    <row r="10" spans="1:17">
      <c r="B10" s="74" t="s">
        <v>102</v>
      </c>
      <c r="C10" s="74">
        <v>150</v>
      </c>
      <c r="D10" s="74">
        <v>650</v>
      </c>
      <c r="E10" s="74">
        <v>15</v>
      </c>
      <c r="F10" s="74">
        <v>20</v>
      </c>
      <c r="G10" s="74">
        <v>20</v>
      </c>
      <c r="H10" s="74">
        <v>40</v>
      </c>
      <c r="I10" s="74">
        <v>350</v>
      </c>
      <c r="J10" s="74">
        <v>50</v>
      </c>
      <c r="K10" s="74">
        <v>70</v>
      </c>
      <c r="L10" s="74">
        <v>150</v>
      </c>
      <c r="M10" s="74" t="str">
        <f>SUM(C10:L10)</f>
        <v>0</v>
      </c>
    </row>
    <row r="11" spans="1:17">
      <c r="B11" s="74" t="s">
        <v>103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6" t="str">
        <f>SUM(C11:L11)</f>
        <v>0</v>
      </c>
    </row>
    <row r="12" spans="1:17">
      <c r="B12" s="79" t="s">
        <v>104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6" t="str">
        <f>SUM(C12:L12)</f>
        <v>0</v>
      </c>
    </row>
    <row r="13" spans="1:17">
      <c r="B13" s="74" t="s">
        <v>105</v>
      </c>
      <c r="C13" s="84" t="str">
        <f>C11/M11</f>
        <v>0</v>
      </c>
      <c r="D13" s="84" t="str">
        <f>D11/M11</f>
        <v>0</v>
      </c>
      <c r="E13" s="84" t="str">
        <f>E11/M11</f>
        <v>0</v>
      </c>
      <c r="F13" s="84" t="str">
        <f>F11/M11</f>
        <v>0</v>
      </c>
      <c r="G13" s="84" t="str">
        <f>G11/M11</f>
        <v>0</v>
      </c>
      <c r="H13" s="84" t="str">
        <f>H11/M11</f>
        <v>0</v>
      </c>
      <c r="I13" s="84" t="str">
        <f>I11/M11</f>
        <v>0</v>
      </c>
      <c r="J13" s="84" t="str">
        <f>J11/M11</f>
        <v>0</v>
      </c>
      <c r="K13" s="84" t="str">
        <f>K11/M11</f>
        <v>0</v>
      </c>
      <c r="L13" s="84" t="str">
        <f>L11/M11</f>
        <v>0</v>
      </c>
      <c r="M13" s="74"/>
    </row>
    <row r="14" spans="1:17">
      <c r="B14" s="74" t="s">
        <v>106</v>
      </c>
      <c r="C14" s="81" t="str">
        <f>ROUNDUP(M14*C13,2)</f>
        <v>0</v>
      </c>
      <c r="D14" s="81" t="str">
        <f>ROUNDUP(M14*D13,2)</f>
        <v>0</v>
      </c>
      <c r="E14" s="81" t="str">
        <f>ROUNDUP(M14*E13,2)</f>
        <v>0</v>
      </c>
      <c r="F14" s="81" t="str">
        <f>ROUNDUP(M14*F13,2)</f>
        <v>0</v>
      </c>
      <c r="G14" s="81" t="str">
        <f>ROUNDUP(M14*G13,2)</f>
        <v>0</v>
      </c>
      <c r="H14" s="81" t="str">
        <f>ROUNDUP(M14*H13,2)</f>
        <v>0</v>
      </c>
      <c r="I14" s="81" t="str">
        <f>ROUNDUP(M14*I13,2)</f>
        <v>0</v>
      </c>
      <c r="J14" s="81" t="str">
        <f>ROUNDUP(M14*J13,2)</f>
        <v>0</v>
      </c>
      <c r="K14" s="81" t="str">
        <f>ROUNDUP(M14*K13,2)</f>
        <v>0</v>
      </c>
      <c r="L14" s="81" t="str">
        <f>ROUNDUP(M14*L13,2)</f>
        <v>0</v>
      </c>
      <c r="M14" s="86" t="str">
        <f>IF(M7&lt;1, ROUNDUP(Q7*0.6, 0), ROUNDUP(Q7*0.6*M7, 0))</f>
        <v>0</v>
      </c>
    </row>
    <row r="15" spans="1:17">
      <c r="B15" s="74" t="s">
        <v>107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6" t="str">
        <f>SUM(C15:L15)</f>
        <v>0</v>
      </c>
    </row>
    <row r="16" spans="1:17">
      <c r="B16" s="79" t="s">
        <v>108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6" t="str">
        <f>SUM(C16:L16)</f>
        <v>0</v>
      </c>
    </row>
    <row r="17" spans="1:17">
      <c r="B17" s="74" t="s">
        <v>109</v>
      </c>
      <c r="C17" s="81" t="str">
        <f>IF(M15&gt;5000,ROUND(100*C13,2),ROUND(50*C13,2))</f>
        <v>0</v>
      </c>
      <c r="D17" s="81" t="str">
        <f>IF(M15&gt;5000,ROUND(100*D13,2),ROUND(50*D13,2))</f>
        <v>0</v>
      </c>
      <c r="E17" s="81" t="str">
        <f>IF(M15&gt;5000,ROUND(100*E13,2),ROUND(50*E13,2))</f>
        <v>0</v>
      </c>
      <c r="F17" s="81" t="str">
        <f>IF(M15&gt;5000,ROUND(100*F13,2),ROUND(50*F13,2))</f>
        <v>0</v>
      </c>
      <c r="G17" s="81" t="str">
        <f>IF(M15&gt;5000,ROUND(100*G13,2),ROUND(50*G13,2))</f>
        <v>0</v>
      </c>
      <c r="H17" s="81" t="str">
        <f>IF(M15&gt;5000,ROUND(100*H13,2),ROUND(50*H13,2))</f>
        <v>0</v>
      </c>
      <c r="I17" s="81" t="str">
        <f>IF(M15&gt;5000,ROUND(100*I13,2),ROUND(50*I13,2))</f>
        <v>0</v>
      </c>
      <c r="J17" s="81" t="str">
        <f>IF(M15&gt;5000,ROUND(100*J13,2),ROUND(50*J13,2))</f>
        <v>0</v>
      </c>
      <c r="K17" s="81" t="str">
        <f>IF(M15&gt;5000,ROUND(100*K13,2),ROUND(50*K13,2))</f>
        <v>0</v>
      </c>
      <c r="L17" s="81" t="str">
        <f>IF(M15&gt;5000,ROUND(100*L13,2),ROUND(50*L13,2))</f>
        <v>0</v>
      </c>
      <c r="M17" s="86" t="str">
        <f>SUM(C17:L17)</f>
        <v>0</v>
      </c>
    </row>
    <row r="18" spans="1:17">
      <c r="B18" s="74" t="s">
        <v>110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6" t="str">
        <f>SUM(C18:L18)</f>
        <v>0</v>
      </c>
    </row>
    <row r="19" spans="1:17">
      <c r="B19" s="79" t="s">
        <v>111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6" t="str">
        <f>SUM(C19:L19)</f>
        <v>0</v>
      </c>
    </row>
    <row r="23" spans="1:17">
      <c r="B23" s="75" t="s">
        <v>112</v>
      </c>
      <c r="C23" s="74"/>
      <c r="D23" s="74"/>
      <c r="E23" s="74"/>
    </row>
    <row r="26" spans="1:17">
      <c r="B26" s="74" t="s">
        <v>113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 t="str">
        <f>SUM(C26:L26)</f>
        <v>0</v>
      </c>
    </row>
    <row r="27" spans="1:17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4" t="str">
        <f>SUM(C27:L27)</f>
        <v>0</v>
      </c>
    </row>
    <row r="28" spans="1:17">
      <c r="B28" s="74" t="s">
        <v>114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SUM(C28:L28)</f>
        <v>0</v>
      </c>
    </row>
    <row r="29" spans="1:17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SUM(C29:L29)</f>
        <v>0</v>
      </c>
    </row>
    <row r="30" spans="1:17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SUM(C30:L30)</f>
        <v>0</v>
      </c>
    </row>
    <row r="31" spans="1:17">
      <c r="B31" s="74" t="s">
        <v>115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SUM(C31:L31)</f>
        <v>0</v>
      </c>
    </row>
    <row r="32" spans="1:17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</row>
    <row r="37" spans="1:17">
      <c r="B37" s="75" t="s">
        <v>116</v>
      </c>
      <c r="C37" s="74"/>
      <c r="D37" s="74"/>
      <c r="E37" s="74"/>
    </row>
    <row r="40" spans="1:17">
      <c r="B40" s="74" t="s">
        <v>117</v>
      </c>
      <c r="C40" s="81" t="str">
        <f>C13*M40</f>
        <v>0</v>
      </c>
      <c r="D40" s="81" t="str">
        <f>D13*M40</f>
        <v>0</v>
      </c>
      <c r="E40" s="81" t="str">
        <f>E13*M40</f>
        <v>0</v>
      </c>
      <c r="F40" s="81" t="str">
        <f>F13*M40</f>
        <v>0</v>
      </c>
      <c r="G40" s="81" t="str">
        <f>G13*M40</f>
        <v>0</v>
      </c>
      <c r="H40" s="81" t="str">
        <f>H13*M40</f>
        <v>0</v>
      </c>
      <c r="I40" s="81" t="str">
        <f>I13*M40</f>
        <v>0</v>
      </c>
      <c r="J40" s="81" t="str">
        <f>J13*M40</f>
        <v>0</v>
      </c>
      <c r="K40" s="81" t="str">
        <f>K13*M40</f>
        <v>0</v>
      </c>
      <c r="L40" s="81" t="str">
        <f>L13*M40</f>
        <v>0</v>
      </c>
      <c r="M40" s="81" t="str">
        <f>IF(M7&lt;1, ROUNDUP(Q7*0.4, 0), ROUNDUP(Q7*0.4*M7, 0))</f>
        <v>0</v>
      </c>
    </row>
    <row r="41" spans="1:17">
      <c r="B41"/>
    </row>
    <row r="43" spans="1:17">
      <c r="B43" s="74" t="s">
        <v>117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95</v>
      </c>
    </row>
    <row r="44" spans="1:17">
      <c r="B44" s="74" t="s">
        <v>118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SUM(C44:L44)</f>
        <v>0</v>
      </c>
    </row>
    <row r="45" spans="1:17">
      <c r="B45" s="74" t="s">
        <v>45</v>
      </c>
      <c r="C45" s="74">
        <v>150</v>
      </c>
      <c r="D45" s="74">
        <v>650</v>
      </c>
      <c r="E45" s="74">
        <v>15</v>
      </c>
      <c r="F45" s="74">
        <v>20</v>
      </c>
      <c r="G45" s="74">
        <v>20</v>
      </c>
      <c r="H45" s="74">
        <v>40</v>
      </c>
      <c r="I45" s="74">
        <v>350</v>
      </c>
      <c r="J45" s="74">
        <v>50</v>
      </c>
      <c r="K45" s="74">
        <v>70</v>
      </c>
      <c r="L45" s="74">
        <v>150</v>
      </c>
      <c r="M45" s="74"/>
    </row>
    <row r="46" spans="1:17">
      <c r="B46" s="74" t="s">
        <v>119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74"/>
    </row>
    <row r="47" spans="1:17">
      <c r="B47" s="74" t="s">
        <v>120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