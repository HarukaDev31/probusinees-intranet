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<sst xmlns="http://schemas.openxmlformats.org/spreadsheetml/2006/main" uniqueCount="114">
  <si>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</si>
  <si>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</si>
  <si>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</si>
  <si>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</si>
  <si>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SERVICIO:</t>
  </si>
  <si>
    <t>CARGA CONSOLIDADA</t>
  </si>
  <si>
    <t>N° CAJAS:</t>
  </si>
  <si>
    <t>APELLIDO:</t>
  </si>
  <si>
    <t>FECHA:</t>
  </si>
  <si>
    <t>13/02/2025</t>
  </si>
  <si>
    <t>PESO:</t>
  </si>
  <si>
    <t>DNI/RUC:</t>
  </si>
  <si>
    <t>ORIGEN:</t>
  </si>
  <si>
    <t>CHINA</t>
  </si>
  <si>
    <t>MEDIDA:</t>
  </si>
  <si>
    <t>TELEFONO:</t>
  </si>
  <si>
    <t>CLIENTE:</t>
  </si>
  <si>
    <t>VOLUMEN: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</si>
  <si>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</si>
  <si>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</si>
  <si>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</si>
  <si>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</si>
  <si>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</si>
  <si>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</si>
  <si>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</si>
  <si>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</si>
  <si>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</si>
  <si>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</si>
  <si>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</si>
  <si>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</si>
  <si>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</si>
  <si>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</si>
  <si>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</si>
  <si>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</si>
  <si>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</si>
  <si>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</si>
  <si>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</si>
  <si>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</si>
  <si>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</si>
  <si>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</si>
  <si>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</si>
  <si>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</si>
  <si>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</si>
  <si>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</si>
  <si>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</si>
  <si>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</si>
  <si>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</si>
  <si>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</si>
  <si>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</si>
  <si>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</si>
  <si>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</si>
  <si>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</si>
  <si>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</si>
  <si>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</si>
  <si>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</si>
  <si>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</si>
  <si>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</si>
  <si>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</si>
  <si>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</si>
  <si>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</si>
  <si>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</si>
  <si>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</si>
  <si>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</si>
  <si>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</si>
  <si>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</si>
  <si>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</si>
  <si>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</si>
  <si>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</si>
  <si>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</si>
  <si>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</si>
  <si>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</si>
  <si>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</si>
  <si>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</si>
  <si>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</si>
  <si>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</si>
  <si>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</si>
  <si>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</si>
  <si>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</si>
  <si>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</si>
  <si>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</si>
  <si>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</si>
  <si>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</si>
  <si>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</si>
  <si>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N.Proveedor</t>
  </si>
  <si>
    <t>N° Cajas</t>
  </si>
  <si>
    <t>Peso(KG)</t>
  </si>
  <si>
    <t>Medida</t>
  </si>
  <si>
    <t>VOL. X PROVEEDOR</t>
  </si>
  <si>
    <t>Nombres</t>
  </si>
  <si>
    <t>Cantidad Cajones</t>
  </si>
  <si>
    <t>Peso</t>
  </si>
  <si>
    <t>TOTAL CBM</t>
  </si>
  <si>
    <t>Valor Unitario</t>
  </si>
  <si>
    <t>Valoracion</t>
  </si>
  <si>
    <t>Cantidad</t>
  </si>
  <si>
    <t>Valor FOB</t>
  </si>
  <si>
    <t>Distribucion %</t>
  </si>
  <si>
    <t>Flete</t>
  </si>
  <si>
    <t>Valor CFR</t>
  </si>
  <si>
    <t>Seguro</t>
  </si>
  <si>
    <t>Valor CIF</t>
  </si>
  <si>
    <t>Tributos Aplicables</t>
  </si>
  <si>
    <t>ANTIDUMPING</t>
  </si>
  <si>
    <t>AD VALOREM</t>
  </si>
  <si>
    <t>IGB 16%</t>
  </si>
  <si>
    <t>IPM 2%</t>
  </si>
  <si>
    <t>PERCEPCION</t>
  </si>
  <si>
    <t>TC</t>
  </si>
  <si>
    <t>COSTOS DESTINOS</t>
  </si>
  <si>
    <t>ITEM</t>
  </si>
  <si>
    <t>COSTO TOTAL DE IMPORTACIÓN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</si>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</sst>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8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6" fillId="3" borderId="0" applyFont="1" applyNumberFormat="1" applyFill="1" applyBorder="0" applyAlignment="1">
      <alignment horizontal="center" vertical="bottom" textRotation="0" wrapText="false" shrinkToFit="false"/>
    </xf>
    <xf xfId="0" fontId="1" numFmtId="166" fillId="3" borderId="2" applyFont="1" applyNumberFormat="1" applyFill="1" applyBorder="1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3" applyFont="1" applyNumberFormat="0" applyFill="1" applyBorder="1" applyAlignment="0">
      <alignment horizontal="general" vertical="bottom" textRotation="0" wrapText="false" shrinkToFit="false"/>
    </xf>
    <xf xfId="0" fontId="2" numFmtId="0" fillId="3" borderId="4" applyFont="1" applyNumberFormat="0" applyFill="1" applyBorder="1" applyAlignment="0">
      <alignment horizontal="general" vertical="bottom" textRotation="0" wrapText="false" shrinkToFit="false"/>
    </xf>
    <xf xfId="0" fontId="2" numFmtId="0" fillId="3" borderId="5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164" fillId="3" borderId="7" applyFont="0" applyNumberFormat="1" applyFill="1" applyBorder="1" applyAlignment="0">
      <alignment horizontal="general" vertical="bottom" textRotation="0" wrapText="false" shrinkToFit="false"/>
    </xf>
    <xf xfId="0" fontId="5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8" applyFont="1" applyNumberFormat="0" applyFill="1" applyBorder="1" applyAlignment="1">
      <alignment horizontal="center" vertical="bottom" textRotation="0" wrapText="false" shrinkToFit="false"/>
    </xf>
    <xf xfId="0" fontId="1" numFmtId="166" fillId="3" borderId="8" applyFont="1" applyNumberFormat="1" applyFill="1" applyBorder="1" applyAlignment="1">
      <alignment horizontal="center" vertical="bottom" textRotation="0" wrapText="false" shrinkToFit="false"/>
    </xf>
    <xf xfId="0" fontId="5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1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3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0" fillId="3" borderId="9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1" numFmtId="169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14" fillId="3" borderId="0" applyFont="1" applyNumberFormat="1" applyFill="1" applyBorder="0" applyAlignment="1">
      <alignment horizontal="left" vertical="bottom" textRotation="0" wrapText="false" shrinkToFit="false"/>
    </xf>
    <xf xfId="0" fontId="1" numFmtId="14" fillId="3" borderId="9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8" applyFont="1" applyNumberFormat="0" applyFill="1" applyBorder="1" applyAlignment="0">
      <alignment horizontal="general" vertical="bottom" textRotation="0" wrapText="false" shrinkToFit="false"/>
    </xf>
    <xf xfId="0" fontId="1" numFmtId="0" fillId="3" borderId="10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8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0" numFmtId="164" fillId="3" borderId="7" applyFont="0" applyNumberFormat="1" applyFill="1" applyBorder="1" applyAlignment="1">
      <alignment horizontal="center" vertical="bottom" textRotation="0" wrapText="false" shrinkToFit="false"/>
    </xf>
    <xf xfId="0" fontId="0" numFmtId="164" fillId="3" borderId="11" applyFont="0" applyNumberFormat="1" applyFill="1" applyBorder="1" applyAlignment="1">
      <alignment horizontal="center" vertical="bottom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7" numFmtId="0" fillId="9" borderId="0" applyFont="1" applyNumberFormat="0" applyFill="1" applyBorder="0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1" borderId="0" applyFont="1" applyNumberFormat="1" applyFill="1" applyBorder="0" applyAlignment="1">
      <alignment horizontal="center" vertical="bottom" textRotation="0" wrapText="false" shrinkToFit="false"/>
    </xf>
    <xf xfId="0" fontId="5" numFmtId="168" fillId="11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zoomScale="85" zoomScaleNormal="85" showGridLines="false" showRowColHeaders="1">
      <selection activeCell="K39" sqref="K39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3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3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3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3"/>
    </row>
    <row r="5" spans="1:13">
      <c r="B5" s="46"/>
      <c r="C5" s="46"/>
      <c r="D5" s="44"/>
    </row>
    <row r="6" spans="1:13">
      <c r="B6" s="46"/>
      <c r="C6" s="46"/>
      <c r="D6" s="27"/>
      <c r="F6" s="27"/>
      <c r="G6" s="27"/>
      <c r="H6" s="27"/>
    </row>
    <row r="7" spans="1:13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3">
      <c r="B8" s="8" t="s">
        <v>3</v>
      </c>
      <c r="C8" s="17"/>
      <c r="D8" s="42"/>
      <c r="E8" s="24" t="s">
        <v>4</v>
      </c>
      <c r="F8" s="53" t="s">
        <v>5</v>
      </c>
      <c r="G8" s="54"/>
      <c r="H8" s="41"/>
      <c r="I8" s="1" t="s">
        <v>6</v>
      </c>
      <c r="J8" s="72">
        <v>0</v>
      </c>
      <c r="K8" s="72"/>
      <c r="L8" s="72"/>
    </row>
    <row r="9" spans="1:13">
      <c r="B9" s="8" t="s">
        <v>7</v>
      </c>
      <c r="C9" s="17"/>
      <c r="D9" s="42"/>
      <c r="E9" s="25" t="s">
        <v>8</v>
      </c>
      <c r="F9" s="49" t="s">
        <v>9</v>
      </c>
      <c r="G9" s="50"/>
      <c r="H9" s="41"/>
      <c r="I9" s="1" t="s">
        <v>10</v>
      </c>
      <c r="J9" s="47">
        <v>0</v>
      </c>
      <c r="K9" s="47"/>
      <c r="L9" s="47"/>
    </row>
    <row r="10" spans="1:13">
      <c r="B10" s="8" t="s">
        <v>11</v>
      </c>
      <c r="C10" s="17"/>
      <c r="D10" s="42"/>
      <c r="E10" s="30" t="s">
        <v>12</v>
      </c>
      <c r="F10" s="51" t="s">
        <v>13</v>
      </c>
      <c r="G10" s="52"/>
      <c r="H10" s="41"/>
      <c r="I10" s="1" t="s">
        <v>14</v>
      </c>
      <c r="J10" s="73">
        <v>0</v>
      </c>
      <c r="K10" s="73"/>
      <c r="L10" s="73"/>
    </row>
    <row r="11" spans="1:13">
      <c r="B11" s="8" t="s">
        <v>15</v>
      </c>
      <c r="C11" s="18"/>
      <c r="D11" s="43"/>
      <c r="E11" s="26" t="s">
        <v>16</v>
      </c>
      <c r="F11" s="56"/>
      <c r="G11" s="75"/>
      <c r="H11" s="41"/>
      <c r="I11" s="1" t="s">
        <v>17</v>
      </c>
      <c r="J11" s="83">
        <v>0</v>
      </c>
      <c r="K11" s="83"/>
      <c r="L11" s="83"/>
    </row>
    <row r="12" spans="1:13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3">
      <c r="B13" s="76" t="s">
        <v>18</v>
      </c>
      <c r="C13" s="76"/>
      <c r="D13" s="76"/>
      <c r="E13" s="76"/>
      <c r="F13" s="76"/>
      <c r="G13" s="76"/>
      <c r="H13" s="76"/>
      <c r="I13" s="76"/>
      <c r="J13" s="76"/>
      <c r="K13" s="10" t="s">
        <v>19</v>
      </c>
      <c r="L13" s="10" t="s">
        <v>20</v>
      </c>
    </row>
    <row r="14" spans="1:13">
      <c r="B14" s="77" t="s">
        <v>21</v>
      </c>
      <c r="C14" s="77"/>
      <c r="D14" s="77"/>
      <c r="E14" s="77"/>
      <c r="F14" s="77"/>
      <c r="G14" s="77"/>
      <c r="H14" s="77"/>
      <c r="I14" s="77"/>
      <c r="J14" s="77"/>
      <c r="K14" s="15" t="str">
        <f>'2'!C18</f>
        <v>0</v>
      </c>
      <c r="L14" s="9" t="s">
        <v>22</v>
      </c>
    </row>
    <row r="15" spans="1:13">
      <c r="B15" s="78" t="s">
        <v>23</v>
      </c>
      <c r="C15" s="78"/>
      <c r="D15" s="78"/>
      <c r="E15" s="78"/>
      <c r="F15" s="78"/>
      <c r="G15" s="78"/>
      <c r="H15" s="78"/>
      <c r="I15" s="78"/>
      <c r="J15" s="78"/>
      <c r="K15" s="16" t="str">
        <f>'2'!C20 + '2'!C22</f>
        <v>0</v>
      </c>
      <c r="L15" s="12" t="s">
        <v>22</v>
      </c>
    </row>
    <row r="16" spans="1:13">
      <c r="B16" s="59" t="s">
        <v>24</v>
      </c>
      <c r="C16" s="59"/>
      <c r="D16" s="59"/>
      <c r="E16" s="59"/>
      <c r="F16" s="59"/>
      <c r="G16" s="59"/>
      <c r="H16" s="59"/>
      <c r="I16" s="59"/>
      <c r="J16" s="59"/>
      <c r="K16" s="15" t="str">
        <f>SUM(K14:K15)</f>
        <v>0</v>
      </c>
      <c r="L16" s="9" t="s">
        <v>22</v>
      </c>
    </row>
    <row r="17" spans="1:1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3">
      <c r="B19" s="79" t="s">
        <v>25</v>
      </c>
      <c r="C19" s="79"/>
      <c r="D19" s="79"/>
      <c r="E19" s="79"/>
      <c r="F19" s="79"/>
      <c r="G19" s="19"/>
      <c r="H19" s="19"/>
      <c r="I19" s="19"/>
      <c r="J19" s="10" t="s">
        <v>26</v>
      </c>
      <c r="K19" s="10" t="s">
        <v>19</v>
      </c>
      <c r="L19" s="10" t="s">
        <v>20</v>
      </c>
    </row>
    <row r="20" spans="1:13">
      <c r="B20" s="57" t="s">
        <v>27</v>
      </c>
      <c r="C20" s="57"/>
      <c r="D20" s="57"/>
      <c r="E20" s="57"/>
      <c r="F20" s="57"/>
      <c r="G20" s="57"/>
      <c r="H20" s="57"/>
      <c r="I20" s="57"/>
      <c r="J20" s="21" t="str">
        <f>MAX('2'!C33:B33)</f>
        <v>0</v>
      </c>
      <c r="K20" s="15" t="str">
        <f>'2'!C34</f>
        <v>0</v>
      </c>
      <c r="L20" s="9" t="s">
        <v>22</v>
      </c>
    </row>
    <row r="21" spans="1:13">
      <c r="B21" s="57" t="s">
        <v>28</v>
      </c>
      <c r="C21" s="57"/>
      <c r="D21" s="57"/>
      <c r="E21" s="57"/>
      <c r="F21" s="57"/>
      <c r="G21" s="57"/>
      <c r="H21" s="57"/>
      <c r="I21" s="57"/>
      <c r="J21" s="21">
        <v>0.16</v>
      </c>
      <c r="K21" s="15" t="str">
        <f>'2'!C35</f>
        <v>0</v>
      </c>
      <c r="L21" s="9" t="s">
        <v>22</v>
      </c>
    </row>
    <row r="22" spans="1:13">
      <c r="B22" s="56" t="s">
        <v>29</v>
      </c>
      <c r="C22" s="56"/>
      <c r="D22" s="56"/>
      <c r="E22" s="56"/>
      <c r="F22" s="56"/>
      <c r="G22" s="56"/>
      <c r="H22" s="56"/>
      <c r="I22" s="56"/>
      <c r="J22" s="21">
        <v>0.02</v>
      </c>
      <c r="K22" s="15" t="str">
        <f>'2'!C36</f>
        <v>0</v>
      </c>
      <c r="L22" s="9" t="s">
        <v>22</v>
      </c>
    </row>
    <row r="23" spans="1:13">
      <c r="B23" s="59" t="s">
        <v>30</v>
      </c>
      <c r="C23" s="59"/>
      <c r="D23" s="59"/>
      <c r="E23" s="59"/>
      <c r="F23" s="59"/>
      <c r="G23" s="59"/>
      <c r="H23" s="59"/>
      <c r="I23" s="59"/>
      <c r="J23" s="34"/>
      <c r="K23" s="35" t="str">
        <f>SUM(K20:K22)</f>
        <v>0</v>
      </c>
      <c r="L23" s="34" t="s">
        <v>22</v>
      </c>
    </row>
    <row r="24" spans="1:13">
      <c r="B24" s="57"/>
      <c r="C24" s="57"/>
      <c r="D24" s="57"/>
      <c r="E24" s="57"/>
      <c r="F24" s="57"/>
      <c r="G24" s="57"/>
      <c r="H24" s="57"/>
      <c r="I24" s="57"/>
      <c r="J24" s="2"/>
      <c r="K24" s="11"/>
      <c r="L24" s="9"/>
    </row>
    <row r="25" spans="1:13">
      <c r="B25" s="56" t="s">
        <v>31</v>
      </c>
      <c r="C25" s="56"/>
      <c r="D25" s="56"/>
      <c r="E25" s="56"/>
      <c r="F25" s="56"/>
      <c r="G25" s="56"/>
      <c r="H25" s="56"/>
      <c r="I25" s="56"/>
      <c r="J25" s="22" t="s">
        <v>32</v>
      </c>
      <c r="K25" s="16" t="str">
        <f>'2'!C37</f>
        <v>0</v>
      </c>
      <c r="L25" s="12" t="s">
        <v>22</v>
      </c>
    </row>
    <row r="26" spans="1:13">
      <c r="B26" s="59" t="s">
        <v>33</v>
      </c>
      <c r="C26" s="59"/>
      <c r="D26" s="59"/>
      <c r="E26" s="59"/>
      <c r="F26" s="59"/>
      <c r="G26" s="59"/>
      <c r="H26" s="59"/>
      <c r="I26" s="59"/>
      <c r="K26" s="15" t="str">
        <f>K23+K25</f>
        <v>0</v>
      </c>
      <c r="L26" s="9" t="s">
        <v>22</v>
      </c>
    </row>
    <row r="27" spans="1:13">
      <c r="B27" s="51"/>
      <c r="C27" s="51"/>
      <c r="D27" s="51"/>
      <c r="E27" s="51"/>
      <c r="F27" s="51"/>
      <c r="G27" s="51"/>
      <c r="H27" s="51"/>
      <c r="I27" s="51"/>
    </row>
    <row r="28" spans="1:13" customHeight="1" ht="15.6">
      <c r="B28" s="60" t="s">
        <v>34</v>
      </c>
      <c r="C28" s="60"/>
      <c r="D28" s="60"/>
      <c r="E28" s="60"/>
      <c r="F28" s="60"/>
      <c r="G28" s="60"/>
      <c r="H28" s="60"/>
      <c r="I28" s="60"/>
      <c r="J28" s="60"/>
      <c r="K28" s="31" t="s">
        <v>19</v>
      </c>
      <c r="L28" s="31" t="s">
        <v>20</v>
      </c>
    </row>
    <row r="29" spans="1:13">
      <c r="B29" s="57" t="s">
        <v>35</v>
      </c>
      <c r="C29" s="57"/>
      <c r="D29" s="57"/>
      <c r="E29" s="57"/>
      <c r="F29" s="57"/>
      <c r="G29" s="57"/>
      <c r="H29" s="57"/>
      <c r="I29" s="57"/>
      <c r="J29" s="57"/>
      <c r="K29" s="15" t="str">
        <f>K14</f>
        <v>0</v>
      </c>
      <c r="L29" s="9" t="s">
        <v>22</v>
      </c>
    </row>
    <row r="30" spans="1:13">
      <c r="B30" s="57" t="s">
        <v>36</v>
      </c>
      <c r="C30" s="57"/>
      <c r="D30" s="57"/>
      <c r="E30" s="57"/>
      <c r="F30" s="57"/>
      <c r="G30" s="57"/>
      <c r="H30" s="57"/>
      <c r="I30" s="57"/>
      <c r="J30" s="57"/>
      <c r="K30" s="15" t="str">
        <f>'2'!C18+'2'!C45</f>
        <v>0</v>
      </c>
      <c r="L30" s="9" t="s">
        <v>22</v>
      </c>
    </row>
    <row r="31" spans="1:13">
      <c r="B31" s="56" t="s">
        <v>37</v>
      </c>
      <c r="C31" s="56"/>
      <c r="D31" s="56"/>
      <c r="E31" s="56"/>
      <c r="F31" s="56"/>
      <c r="G31" s="56"/>
      <c r="H31" s="56"/>
      <c r="I31" s="56"/>
      <c r="J31" s="56"/>
      <c r="K31" s="16" t="str">
        <f>K26</f>
        <v>0</v>
      </c>
      <c r="L31" s="12" t="s">
        <v>22</v>
      </c>
    </row>
    <row r="32" spans="1:13">
      <c r="B32" s="59" t="s">
        <v>38</v>
      </c>
      <c r="C32" s="59"/>
      <c r="D32" s="59"/>
      <c r="E32" s="59"/>
      <c r="F32" s="59"/>
      <c r="G32" s="59"/>
      <c r="H32" s="59"/>
      <c r="I32" s="59"/>
      <c r="J32" s="59"/>
      <c r="K32" s="15" t="str">
        <f>SUM(K29:K31)</f>
        <v>0</v>
      </c>
      <c r="L32" s="9" t="s">
        <v>22</v>
      </c>
    </row>
    <row r="33" spans="1:13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3">
      <c r="B34" s="69" t="s">
        <v>39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3">
      <c r="B35" s="20" t="s">
        <v>40</v>
      </c>
      <c r="C35" s="64" t="s">
        <v>41</v>
      </c>
      <c r="D35" s="65"/>
      <c r="E35" s="66"/>
      <c r="F35" s="6" t="s">
        <v>42</v>
      </c>
      <c r="G35" s="64" t="s">
        <v>43</v>
      </c>
      <c r="H35" s="66"/>
      <c r="I35" s="5" t="s">
        <v>44</v>
      </c>
      <c r="J35" s="28" t="s">
        <v>33</v>
      </c>
      <c r="K35" s="55" t="s">
        <v>45</v>
      </c>
      <c r="L35" s="55"/>
    </row>
    <row r="36" spans="1:13">
      <c r="B36" s="20"/>
      <c r="C36" s="64"/>
      <c r="D36" s="28"/>
      <c r="E36" s="66"/>
      <c r="F36" s="6"/>
      <c r="G36" s="67"/>
      <c r="H36" s="68"/>
      <c r="I36" s="29"/>
      <c r="J36" s="29"/>
      <c r="K36" s="55"/>
      <c r="L36" s="55"/>
      <c r="M36" s="1"/>
    </row>
    <row r="37" spans="1:13">
      <c r="B37" s="9"/>
      <c r="C37" s="2"/>
      <c r="D37" s="2"/>
      <c r="E37" s="2"/>
      <c r="F37" s="2"/>
      <c r="G37" s="4"/>
      <c r="H37" s="4"/>
      <c r="I37" s="3"/>
      <c r="J37" s="3"/>
      <c r="K37" s="89"/>
      <c r="L37" s="88"/>
      <c r="M37" s="1"/>
    </row>
    <row r="38" spans="1:13">
      <c r="B38" s="9"/>
      <c r="C38" s="2"/>
      <c r="D38" s="2"/>
      <c r="E38" s="2"/>
      <c r="F38" s="2"/>
      <c r="G38" s="4"/>
      <c r="H38" s="4"/>
      <c r="I38" s="3"/>
      <c r="J38" s="3"/>
      <c r="K38" s="89"/>
      <c r="L38" s="88"/>
      <c r="M38" s="1"/>
    </row>
    <row r="39" spans="1:13" customHeight="1" ht="15.6">
      <c r="B39" s="23"/>
      <c r="C39" s="2"/>
      <c r="D39" s="2"/>
      <c r="E39" s="2"/>
      <c r="F39" s="14"/>
      <c r="G39" s="2"/>
      <c r="H39" s="2"/>
      <c r="I39" s="1"/>
      <c r="J39" s="33"/>
      <c r="K39" s="90"/>
      <c r="L39" s="37"/>
      <c r="M39" s="1"/>
    </row>
    <row r="40" spans="1:13" customHeight="1" ht="15.6">
      <c r="B40" s="23"/>
      <c r="C40" s="2"/>
      <c r="D40" s="2"/>
      <c r="E40" s="2"/>
      <c r="F40" s="14"/>
      <c r="G40" s="2"/>
      <c r="H40" s="2"/>
      <c r="J40" s="33"/>
      <c r="K40" s="36"/>
      <c r="L40" s="37"/>
    </row>
    <row r="41" spans="1:13">
      <c r="B41" s="7"/>
      <c r="C41" s="7"/>
      <c r="D41" s="7"/>
      <c r="E41" s="7"/>
      <c r="F41" s="7"/>
      <c r="G41" s="7"/>
      <c r="H41" s="7"/>
      <c r="I41" s="7"/>
      <c r="J41" s="7"/>
      <c r="K41" s="38"/>
      <c r="L41" s="39"/>
    </row>
    <row r="42" spans="1:13" customHeight="1" ht="18">
      <c r="B42" s="32" t="s">
        <v>46</v>
      </c>
      <c r="C42" s="7"/>
      <c r="D42" s="7"/>
      <c r="E42" s="7"/>
      <c r="F42" s="7"/>
      <c r="G42" s="7"/>
      <c r="H42" s="7"/>
      <c r="I42" s="7"/>
      <c r="J42" s="7"/>
      <c r="K42" s="7"/>
    </row>
    <row r="43" spans="1:13" customHeight="1" ht="18">
      <c r="B43" s="74" t="s">
        <v>47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3" customHeight="1" ht="18">
      <c r="B44" s="74" t="s">
        <v>48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3" customHeight="1" ht="18">
      <c r="B45" s="74" t="s">
        <v>49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3" customHeight="1" ht="18">
      <c r="B46" s="74" t="s">
        <v>50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3" customHeight="1" ht="18">
      <c r="B47" s="74" t="s">
        <v>51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3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3" customHeight="1" ht="21">
      <c r="B51" s="46"/>
      <c r="C51" s="46"/>
      <c r="D51" s="61" t="s">
        <v>52</v>
      </c>
      <c r="E51" s="61"/>
      <c r="F51" s="61"/>
      <c r="G51" s="61"/>
      <c r="H51" s="61"/>
      <c r="I51" s="61"/>
    </row>
    <row r="52" spans="1:13">
      <c r="B52" s="46"/>
      <c r="C52" s="46"/>
    </row>
    <row r="53" spans="1:13">
      <c r="B53" s="46"/>
      <c r="C53" s="46"/>
    </row>
    <row r="54" spans="1:13" customHeight="1" ht="21">
      <c r="B54" s="80" t="s">
        <v>53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3">
      <c r="B56" s="81" t="s">
        <v>54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3">
      <c r="B57" s="81" t="s">
        <v>55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3">
      <c r="B58" s="57" t="s">
        <v>56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3">
      <c r="B59" s="81" t="s">
        <v>57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3">
      <c r="B60" s="81" t="s">
        <v>58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3">
      <c r="B61" s="57" t="s">
        <v>59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3">
      <c r="B62" s="81" t="s">
        <v>60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3">
      <c r="B63" s="81" t="s">
        <v>61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3">
      <c r="B64" s="81" t="s">
        <v>62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3">
      <c r="B65" s="81" t="s">
        <v>63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3">
      <c r="B66" s="81" t="s">
        <v>64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3">
      <c r="B67" s="81" t="s">
        <v>65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3">
      <c r="B68" s="81" t="s">
        <v>66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3">
      <c r="B69" s="81" t="s">
        <v>67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3">
      <c r="B70" s="81" t="s">
        <v>68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3">
      <c r="B71" s="81" t="s">
        <v>69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3">
      <c r="B72" s="81" t="s">
        <v>70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3">
      <c r="B73" s="77" t="s">
        <v>71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3">
      <c r="B74" s="81" t="s">
        <v>72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3">
      <c r="B75" s="77" t="s">
        <v>73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3">
      <c r="B76" s="81" t="s">
        <v>74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3">
      <c r="B77" s="81" t="s">
        <v>75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3">
      <c r="B78" s="81" t="s">
        <v>76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3">
      <c r="B79" s="81" t="s">
        <v>77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3">
      <c r="B80" s="81" t="s">
        <v>78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3">
      <c r="A81" s="40"/>
      <c r="B81" s="82" t="s">
        <v>79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3">
      <c r="A82" s="40"/>
      <c r="B82" s="81" t="s">
        <v>80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3">
      <c r="A83" s="40"/>
      <c r="B83" s="82" t="s">
        <v>81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3">
      <c r="C85" s="46"/>
      <c r="D85" s="46"/>
      <c r="E85" s="46"/>
      <c r="F85" s="46"/>
      <c r="G85" s="46"/>
      <c r="H85" s="46"/>
      <c r="I85" s="46"/>
    </row>
    <row r="86" spans="1:13">
      <c r="C86" s="46"/>
      <c r="D86" s="46"/>
      <c r="E86" s="46"/>
      <c r="F86" s="46"/>
      <c r="G86" s="46"/>
      <c r="H86" s="46"/>
      <c r="I86" s="46"/>
    </row>
    <row r="87" spans="1:13">
      <c r="C87" s="46"/>
      <c r="D87" s="46"/>
      <c r="E87" s="46"/>
      <c r="F87" s="46"/>
      <c r="G87" s="46"/>
      <c r="H87" s="46"/>
      <c r="I87" s="46"/>
    </row>
    <row r="88" spans="1:13">
      <c r="C88" s="46"/>
      <c r="D88" s="46"/>
      <c r="E88" s="46"/>
      <c r="F88" s="46"/>
      <c r="G88" s="46"/>
      <c r="H88" s="46"/>
      <c r="I88" s="46"/>
    </row>
    <row r="89" spans="1:13">
      <c r="C89" s="46"/>
      <c r="D89" s="46"/>
      <c r="E89" s="46"/>
      <c r="F89" s="46"/>
      <c r="G89" s="46"/>
      <c r="H89" s="46"/>
      <c r="I89" s="46"/>
    </row>
    <row r="90" spans="1:13">
      <c r="C90" s="46"/>
      <c r="D90" s="46"/>
      <c r="E90" s="46"/>
      <c r="F90" s="46"/>
      <c r="G90" s="46"/>
      <c r="H90" s="46"/>
      <c r="I90" s="46"/>
    </row>
    <row r="91" spans="1:13">
      <c r="C91" s="46"/>
      <c r="D91" s="46"/>
      <c r="E91" s="46"/>
      <c r="F91" s="46"/>
      <c r="G91" s="46"/>
      <c r="H91" s="46"/>
      <c r="I91" s="46"/>
    </row>
    <row r="92" spans="1:13" customHeight="1" ht="15.6">
      <c r="C92" s="46"/>
      <c r="D92" s="46"/>
      <c r="E92" s="46"/>
      <c r="F92" s="46"/>
      <c r="G92" s="46"/>
      <c r="H92" s="46"/>
      <c r="I92" s="46"/>
    </row>
    <row r="93" spans="1:13" customHeight="1" ht="15.6">
      <c r="C93" s="46"/>
      <c r="D93" s="46"/>
      <c r="E93" s="46"/>
      <c r="F93" s="46"/>
      <c r="G93" s="46"/>
      <c r="H93" s="46"/>
      <c r="I93" s="46"/>
    </row>
    <row r="94" spans="1:13">
      <c r="C94" s="46"/>
      <c r="D94" s="46"/>
      <c r="E94" s="46"/>
      <c r="F94" s="46"/>
      <c r="G94" s="46"/>
      <c r="H94" s="46"/>
      <c r="I94" s="46"/>
    </row>
    <row r="100" spans="1:13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4"/>
  <sheetViews>
    <sheetView tabSelected="0" workbookViewId="0" showGridLines="true" showRowColHeaders="1">
      <selection activeCell="B48" sqref="B48"/>
    </sheetView>
  </sheetViews>
  <sheetFormatPr defaultRowHeight="14.4" outlineLevelRow="0" outlineLevelCol="0"/>
  <cols>
    <col min="2" max="2" width="19.995117" bestFit="true" customWidth="true" style="0"/>
  </cols>
  <sheetData>
    <row r="1" spans="1:26">
      <c r="B1" s="85" t="s">
        <v>82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4" spans="1:26">
      <c r="B4" t="s">
        <v>83</v>
      </c>
    </row>
    <row r="5" spans="1:26">
      <c r="B5" t="s">
        <v>84</v>
      </c>
    </row>
    <row r="6" spans="1:26">
      <c r="B6" t="s">
        <v>85</v>
      </c>
    </row>
    <row r="7" spans="1:26">
      <c r="B7" t="s">
        <v>86</v>
      </c>
    </row>
    <row r="8" spans="1:26">
      <c r="B8" t="s">
        <v>87</v>
      </c>
    </row>
    <row r="11" spans="1:26">
      <c r="B11" s="86" t="s">
        <v>88</v>
      </c>
    </row>
    <row r="12" spans="1:26">
      <c r="B12" t="s">
        <v>89</v>
      </c>
    </row>
    <row r="13" spans="1:26">
      <c r="B13" t="s">
        <v>90</v>
      </c>
    </row>
    <row r="14" spans="1:26">
      <c r="B14" t="s">
        <v>91</v>
      </c>
    </row>
    <row r="15" spans="1:26">
      <c r="B15" t="s">
        <v>92</v>
      </c>
    </row>
    <row r="16" spans="1:26">
      <c r="B16" s="87" t="s">
        <v>93</v>
      </c>
    </row>
    <row r="17" spans="1:26">
      <c r="B17" t="s">
        <v>94</v>
      </c>
    </row>
    <row r="18" spans="1:26">
      <c r="B18" s="87" t="s">
        <v>95</v>
      </c>
    </row>
    <row r="19" spans="1:26">
      <c r="B19" s="87" t="s">
        <v>96</v>
      </c>
    </row>
    <row r="20" spans="1:26">
      <c r="B20" t="s">
        <v>97</v>
      </c>
    </row>
    <row r="21" spans="1:26">
      <c r="B21" t="s">
        <v>98</v>
      </c>
    </row>
    <row r="22" spans="1:26">
      <c r="B22" t="s">
        <v>99</v>
      </c>
    </row>
    <row r="23" spans="1:26">
      <c r="B23" t="s">
        <v>100</v>
      </c>
    </row>
    <row r="28" spans="1:26">
      <c r="B28" s="85" t="s">
        <v>101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31" spans="1:26">
      <c r="B31" t="s">
        <v>102</v>
      </c>
    </row>
    <row r="34" spans="1:26">
      <c r="B34" t="s">
        <v>103</v>
      </c>
    </row>
    <row r="35" spans="1:26">
      <c r="B35" t="s">
        <v>104</v>
      </c>
    </row>
    <row r="36" spans="1:26">
      <c r="B36" t="s">
        <v>105</v>
      </c>
    </row>
    <row r="37" spans="1:26">
      <c r="B37" t="s">
        <v>106</v>
      </c>
    </row>
    <row r="38" spans="1:26">
      <c r="B38" t="s">
        <v>33</v>
      </c>
    </row>
    <row r="39" spans="1:26">
      <c r="T39" t="s">
        <v>107</v>
      </c>
    </row>
    <row r="40" spans="1:26">
      <c r="T40">
        <v>3.7</v>
      </c>
    </row>
    <row r="42" spans="1:26">
      <c r="B42" s="85" t="s">
        <v>108</v>
      </c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5" spans="1:26">
      <c r="B45" t="s">
        <v>109</v>
      </c>
    </row>
    <row r="48" spans="1:26">
      <c r="B48" s="85" t="s">
        <v>110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50" spans="1:26">
      <c r="B50" t="s">
        <v>109</v>
      </c>
    </row>
    <row r="51" spans="1:26">
      <c r="B51" t="s">
        <v>111</v>
      </c>
    </row>
    <row r="52" spans="1:26">
      <c r="B52" t="s">
        <v>42</v>
      </c>
    </row>
    <row r="53" spans="1:26">
      <c r="B53" t="s">
        <v>112</v>
      </c>
    </row>
    <row r="54" spans="1:26">
      <c r="B54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Z1"/>
    <mergeCell ref="B28:Z28"/>
    <mergeCell ref="B42:Z42"/>
    <mergeCell ref="B48:Z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