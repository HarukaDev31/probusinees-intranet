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<sst xmlns="http://schemas.openxmlformats.org/spreadsheetml/2006/main" uniqueCount="118">
  <si>
    <t>PRO MUNDO COMEX S.A.C.</t>
  </si>
  <si>
    <t xml:space="preserve">         RUC: 20612452432</t>
  </si>
  <si>
    <t>COTIZACION N002</t>
  </si>
  <si>
    <t>NOMBRE:</t>
  </si>
  <si>
    <t>ROBERT ANGEL QUIQUE HERHUAY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</si>
  <si>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</si>
  <si>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</si>
  <si>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</si>
  <si>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</si>
  <si>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</si>
  <si>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</si>
  <si>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</si>
  <si>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</si>
  <si>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ORIGEN:</t>
  </si>
  <si>
    <t>CHINA</t>
  </si>
  <si>
    <t>MEDIDA:</t>
  </si>
  <si>
    <t>TELEFONO: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</si>
  <si>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</si>
  <si>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</si>
  <si>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</si>
  <si>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</si>
  <si>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</si>
  <si>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</si>
  <si>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</si>
  <si>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</si>
  <si>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</si>
  <si>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</si>
  <si>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</si>
  <si>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</si>
  <si>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</si>
  <si>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ROBERT ANGEL QUIQUE HERHUAY 😁 un gusto saludarte!
        A continuación te envío la cotización final de tu importación📋📦.
        🙋‍♂️ PAGO PENDIENTE :
        ☑️Costo CBM: $0
        ☑️Impuestos: $2676.41
        ☑️ Total: $2676.41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</si>
  <si>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</si>
  <si>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</si>
  <si>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</si>
  <si>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</si>
  <si>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</si>
  <si>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</si>
  <si>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</si>
  <si>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</si>
  <si>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</si>
  <si>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</si>
  <si>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</si>
  <si>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</si>
  <si>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</si>
  <si>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</si>
  <si>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</si>
  <si>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</si>
  <si>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</si>
  <si>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</si>
  <si>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ADAPTADOR USB SATA</t>
  </si>
  <si>
    <t>CASE PARA DISCO DURO</t>
  </si>
  <si>
    <t>CADDY 2.5" PARA COMPUTADORA</t>
  </si>
  <si>
    <t>MOTHERBOARD H61 PARA COMPUTADORA</t>
  </si>
  <si>
    <t>MOTHERBOARD H81 PARA COMPUTADORA</t>
  </si>
  <si>
    <t>TARJETA GRAFICA GT730 PARA COMPUTADORA</t>
  </si>
  <si>
    <t>TARJETA GRAFICA GTX750TI PARA COMPUTADORA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</si>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</sst>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38.png"/><Relationship Id="rId2" Type="http://schemas.openxmlformats.org/officeDocument/2006/relationships/image" Target="../media/image139.png"/><Relationship Id="rId3" Type="http://schemas.openxmlformats.org/officeDocument/2006/relationships/image" Target="../media/image240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0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/>
      <c r="D10" s="34"/>
      <c r="E10" s="27" t="s">
        <v>13</v>
      </c>
      <c r="F10" s="43" t="s">
        <v>14</v>
      </c>
      <c r="G10" s="44"/>
      <c r="H10" s="33"/>
      <c r="I10" s="1" t="s">
        <v>15</v>
      </c>
      <c r="J10" s="63"/>
      <c r="K10" s="96"/>
      <c r="L10" s="63"/>
    </row>
    <row r="11" spans="1:14">
      <c r="B11" s="8" t="s">
        <v>16</v>
      </c>
      <c r="C11" s="17"/>
      <c r="D11" s="35"/>
      <c r="E11" s="24" t="s">
        <v>17</v>
      </c>
      <c r="F11" s="48" t="s">
        <v>18</v>
      </c>
      <c r="G11" s="65"/>
      <c r="H11" s="33"/>
      <c r="I11" s="1" t="s">
        <v>19</v>
      </c>
      <c r="J11" s="95" t="str">
        <f>'2'!J7</f>
        <v>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'2'!J11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'2'!J14 + '2'!J17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MAX('2'!C27:I27)</f>
        <v>0</v>
      </c>
      <c r="K20" s="14" t="str">
        <f>'2'!J28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'2'!J29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'2'!J30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'2'!J31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IF('2'!N7&lt;1, '2'!N7*J11, '2'!N7*J11)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3" t="s">
        <v>36</v>
      </c>
      <c r="C43" s="92"/>
      <c r="D43" s="92"/>
      <c r="E43" s="92"/>
      <c r="F43" s="93" t="str">
        <f>SUM(F36:F42)</f>
        <v>0</v>
      </c>
      <c r="G43" s="64"/>
      <c r="H43" s="64"/>
      <c r="I43" s="64"/>
      <c r="J43" s="94" t="str">
        <f>SUM(J36:J42)</f>
        <v>0</v>
      </c>
      <c r="K43" s="64"/>
      <c r="L43" s="64"/>
    </row>
    <row r="44" spans="1:14" customHeight="1" ht="18">
      <c r="B44" s="64" t="s">
        <v>56</v>
      </c>
      <c r="C44" s="64"/>
      <c r="D44" s="64"/>
      <c r="E44" s="64"/>
      <c r="F44" s="64"/>
      <c r="G44" s="64"/>
      <c r="H44" s="64"/>
      <c r="I44" s="64"/>
      <c r="J44" s="64"/>
      <c r="K44" s="64"/>
      <c r="L44" s="64"/>
    </row>
    <row r="45" spans="1:14" customHeight="1" ht="18">
      <c r="B45" s="64" t="s">
        <v>57</v>
      </c>
      <c r="C45" s="64"/>
      <c r="D45" s="64"/>
      <c r="E45" s="64"/>
      <c r="F45" s="64"/>
      <c r="G45" s="64"/>
      <c r="H45" s="64"/>
      <c r="I45" s="64"/>
      <c r="J45" s="64"/>
      <c r="K45" s="64"/>
      <c r="L45" s="64"/>
    </row>
    <row r="46" spans="1:14" customHeight="1" ht="18">
      <c r="B46" s="64" t="s">
        <v>58</v>
      </c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4" customHeight="1" ht="18">
      <c r="B47" s="64" t="s">
        <v>59</v>
      </c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4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4" customHeight="1" ht="9">
      <c r="B49" s="38"/>
      <c r="C49" s="38"/>
      <c r="E49" s="38"/>
      <c r="F49" s="38"/>
      <c r="G49" s="38"/>
      <c r="H49" s="38"/>
      <c r="I49" s="38"/>
      <c r="J49" s="38"/>
      <c r="K49" s="38"/>
      <c r="L49" s="38"/>
      <c r="M49" s="38"/>
    </row>
    <row r="50" spans="1:14" customHeight="1" ht="31.8">
      <c r="B50" s="38"/>
      <c r="C50" s="38"/>
      <c r="D50" s="37" t="s">
        <v>0</v>
      </c>
      <c r="E50" s="37"/>
      <c r="F50" s="37"/>
      <c r="G50" s="37"/>
      <c r="H50" s="37"/>
      <c r="I50" s="37"/>
      <c r="J50" s="37"/>
      <c r="K50" s="37"/>
      <c r="L50" s="37"/>
      <c r="M50" s="37"/>
    </row>
    <row r="51" spans="1:14" customHeight="1" ht="21">
      <c r="B51" s="38"/>
      <c r="C51" s="38"/>
      <c r="D51" s="53" t="s">
        <v>60</v>
      </c>
      <c r="E51" s="53"/>
      <c r="F51" s="53"/>
      <c r="G51" s="53"/>
      <c r="H51" s="53"/>
      <c r="I51" s="53"/>
    </row>
    <row r="52" spans="1:14">
      <c r="B52" s="38"/>
      <c r="C52" s="38"/>
    </row>
    <row r="53" spans="1:14">
      <c r="B53" s="38"/>
      <c r="C53" s="38"/>
    </row>
    <row r="54" spans="1:14" customHeight="1" ht="21">
      <c r="B54" s="70" t="s">
        <v>61</v>
      </c>
      <c r="C54" s="70"/>
      <c r="D54" s="70"/>
      <c r="E54" s="70"/>
      <c r="F54" s="70"/>
      <c r="G54" s="70"/>
      <c r="H54" s="70"/>
      <c r="I54" s="70"/>
      <c r="J54" s="70"/>
      <c r="K54" s="70"/>
      <c r="L54" s="70"/>
    </row>
    <row r="56" spans="1:14">
      <c r="B56" s="71" t="s">
        <v>62</v>
      </c>
      <c r="C56" s="71"/>
      <c r="D56" s="71"/>
      <c r="E56" s="71"/>
      <c r="F56" s="71"/>
      <c r="G56" s="71"/>
      <c r="H56" s="71"/>
      <c r="I56" s="71"/>
      <c r="J56" s="71"/>
      <c r="K56" s="71"/>
      <c r="L56" s="71"/>
    </row>
    <row r="57" spans="1:14">
      <c r="B57" s="71" t="s">
        <v>63</v>
      </c>
      <c r="C57" s="71"/>
      <c r="D57" s="71"/>
      <c r="E57" s="71"/>
      <c r="F57" s="71"/>
      <c r="G57" s="71"/>
      <c r="H57" s="71"/>
      <c r="I57" s="71"/>
      <c r="J57" s="71"/>
      <c r="K57" s="71"/>
      <c r="L57" s="71"/>
    </row>
    <row r="58" spans="1:14">
      <c r="B58" s="49" t="s">
        <v>64</v>
      </c>
      <c r="C58" s="49"/>
      <c r="D58" s="49"/>
      <c r="E58" s="49"/>
      <c r="F58" s="49"/>
      <c r="G58" s="49"/>
      <c r="H58" s="49"/>
      <c r="I58" s="49"/>
      <c r="J58" s="49"/>
      <c r="K58" s="49"/>
      <c r="L58" s="49"/>
    </row>
    <row r="59" spans="1:14">
      <c r="B59" s="71" t="s">
        <v>65</v>
      </c>
      <c r="C59" s="71"/>
      <c r="D59" s="71"/>
      <c r="E59" s="71"/>
      <c r="F59" s="71"/>
      <c r="G59" s="71"/>
      <c r="H59" s="71"/>
      <c r="I59" s="71"/>
      <c r="J59" s="71"/>
      <c r="K59" s="71"/>
      <c r="L59" s="71"/>
    </row>
    <row r="60" spans="1:14">
      <c r="B60" s="71" t="s">
        <v>66</v>
      </c>
      <c r="C60" s="71"/>
      <c r="D60" s="71"/>
      <c r="E60" s="71"/>
      <c r="F60" s="71"/>
      <c r="G60" s="71"/>
      <c r="H60" s="71"/>
      <c r="I60" s="71"/>
      <c r="J60" s="71"/>
      <c r="K60" s="71"/>
      <c r="L60" s="71"/>
    </row>
    <row r="61" spans="1:14">
      <c r="B61" s="49" t="s">
        <v>67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</row>
    <row r="62" spans="1:14">
      <c r="B62" s="71" t="s">
        <v>68</v>
      </c>
      <c r="C62" s="71"/>
      <c r="D62" s="71"/>
      <c r="E62" s="71"/>
      <c r="F62" s="71"/>
      <c r="G62" s="71"/>
      <c r="H62" s="71"/>
      <c r="I62" s="71"/>
      <c r="J62" s="71"/>
      <c r="K62" s="71"/>
      <c r="L62" s="71"/>
    </row>
    <row r="63" spans="1:14">
      <c r="B63" s="71" t="s">
        <v>69</v>
      </c>
      <c r="C63" s="71"/>
      <c r="D63" s="71"/>
      <c r="E63" s="71"/>
      <c r="F63" s="71"/>
      <c r="G63" s="71"/>
      <c r="H63" s="71"/>
      <c r="I63" s="71"/>
      <c r="J63" s="71"/>
      <c r="K63" s="71"/>
      <c r="L63" s="71"/>
    </row>
    <row r="64" spans="1:14">
      <c r="B64" s="71" t="s">
        <v>70</v>
      </c>
      <c r="C64" s="71"/>
      <c r="D64" s="71"/>
      <c r="E64" s="71"/>
      <c r="F64" s="71"/>
      <c r="G64" s="71"/>
      <c r="H64" s="71"/>
      <c r="I64" s="71"/>
      <c r="J64" s="71"/>
      <c r="K64" s="71"/>
      <c r="L64" s="71"/>
    </row>
    <row r="65" spans="1:14">
      <c r="B65" s="71" t="s">
        <v>71</v>
      </c>
      <c r="C65" s="71"/>
      <c r="D65" s="71"/>
      <c r="E65" s="71"/>
      <c r="F65" s="71"/>
      <c r="G65" s="71"/>
      <c r="H65" s="71"/>
      <c r="I65" s="71"/>
      <c r="J65" s="71"/>
      <c r="K65" s="71"/>
      <c r="L65" s="71"/>
    </row>
    <row r="66" spans="1:14">
      <c r="B66" s="71" t="s">
        <v>72</v>
      </c>
      <c r="C66" s="71"/>
      <c r="D66" s="71"/>
      <c r="E66" s="71"/>
      <c r="F66" s="71"/>
      <c r="G66" s="71"/>
      <c r="H66" s="71"/>
      <c r="I66" s="71"/>
      <c r="J66" s="71"/>
      <c r="K66" s="71"/>
      <c r="L66" s="71"/>
    </row>
    <row r="67" spans="1:14">
      <c r="B67" s="71" t="s">
        <v>73</v>
      </c>
      <c r="C67" s="71"/>
      <c r="D67" s="71"/>
      <c r="E67" s="71"/>
      <c r="F67" s="71"/>
      <c r="G67" s="71"/>
      <c r="H67" s="71"/>
      <c r="I67" s="71"/>
      <c r="J67" s="71"/>
      <c r="K67" s="71"/>
      <c r="L67" s="71"/>
    </row>
    <row r="68" spans="1:14">
      <c r="B68" s="71" t="s">
        <v>74</v>
      </c>
      <c r="C68" s="71"/>
      <c r="D68" s="71"/>
      <c r="E68" s="71"/>
      <c r="F68" s="71"/>
      <c r="G68" s="71"/>
      <c r="H68" s="71"/>
      <c r="I68" s="71"/>
      <c r="J68" s="71"/>
      <c r="K68" s="71"/>
      <c r="L68" s="71"/>
    </row>
    <row r="69" spans="1:14">
      <c r="B69" s="71" t="s">
        <v>75</v>
      </c>
      <c r="C69" s="71"/>
      <c r="D69" s="71"/>
      <c r="E69" s="71"/>
      <c r="F69" s="71"/>
      <c r="G69" s="71"/>
      <c r="H69" s="71"/>
      <c r="I69" s="71"/>
      <c r="J69" s="71"/>
      <c r="K69" s="71"/>
      <c r="L69" s="71"/>
    </row>
    <row r="70" spans="1:14">
      <c r="B70" s="71" t="s">
        <v>76</v>
      </c>
      <c r="C70" s="71"/>
      <c r="D70" s="71"/>
      <c r="E70" s="71"/>
      <c r="F70" s="71"/>
      <c r="G70" s="71"/>
      <c r="H70" s="71"/>
      <c r="I70" s="71"/>
      <c r="J70" s="71"/>
      <c r="K70" s="71"/>
      <c r="L70" s="71"/>
    </row>
    <row r="71" spans="1:14">
      <c r="B71" s="71" t="s">
        <v>77</v>
      </c>
      <c r="C71" s="71"/>
      <c r="D71" s="71"/>
      <c r="E71" s="71"/>
      <c r="F71" s="71"/>
      <c r="G71" s="71"/>
      <c r="H71" s="71"/>
      <c r="I71" s="71"/>
      <c r="J71" s="71"/>
      <c r="K71" s="71"/>
      <c r="L71" s="71"/>
    </row>
    <row r="72" spans="1:14">
      <c r="B72" s="71" t="s">
        <v>78</v>
      </c>
      <c r="C72" s="71"/>
      <c r="D72" s="71"/>
      <c r="E72" s="71"/>
      <c r="F72" s="71"/>
      <c r="G72" s="71"/>
      <c r="H72" s="71"/>
      <c r="I72" s="71"/>
      <c r="J72" s="71"/>
      <c r="K72" s="71"/>
      <c r="L72" s="71"/>
    </row>
    <row r="73" spans="1:14">
      <c r="B73" s="67" t="s">
        <v>79</v>
      </c>
      <c r="C73" s="67"/>
      <c r="D73" s="67"/>
      <c r="E73" s="67"/>
      <c r="F73" s="67"/>
      <c r="G73" s="67"/>
      <c r="H73" s="67"/>
      <c r="I73" s="67"/>
      <c r="J73" s="67"/>
      <c r="K73" s="67"/>
      <c r="L73" s="67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67" t="s">
        <v>81</v>
      </c>
      <c r="C75" s="67"/>
      <c r="D75" s="67"/>
      <c r="E75" s="67"/>
      <c r="F75" s="67"/>
      <c r="G75" s="67"/>
      <c r="H75" s="67"/>
      <c r="I75" s="67"/>
      <c r="J75" s="67"/>
      <c r="K75" s="67"/>
      <c r="L75" s="67"/>
    </row>
    <row r="76" spans="1:14">
      <c r="B76" s="71" t="s">
        <v>82</v>
      </c>
      <c r="C76" s="71"/>
      <c r="D76" s="71"/>
      <c r="E76" s="71"/>
      <c r="F76" s="71"/>
      <c r="G76" s="71"/>
      <c r="H76" s="71"/>
      <c r="I76" s="71"/>
      <c r="J76" s="71"/>
      <c r="K76" s="71"/>
      <c r="L76" s="71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71" t="s">
        <v>85</v>
      </c>
      <c r="C79" s="71"/>
      <c r="D79" s="71"/>
      <c r="E79" s="71"/>
      <c r="F79" s="71"/>
      <c r="G79" s="71"/>
      <c r="H79" s="71"/>
      <c r="I79" s="71"/>
      <c r="J79" s="71"/>
      <c r="K79" s="71"/>
      <c r="L79" s="71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A81" s="32"/>
      <c r="B81" s="72" t="s">
        <v>87</v>
      </c>
      <c r="C81" s="72"/>
      <c r="D81" s="72"/>
      <c r="E81" s="72"/>
      <c r="F81" s="72"/>
      <c r="G81" s="72"/>
      <c r="H81" s="72"/>
      <c r="I81" s="72"/>
      <c r="J81" s="72"/>
      <c r="K81" s="72"/>
      <c r="L81" s="72"/>
    </row>
    <row r="82" spans="1:14">
      <c r="A82" s="32"/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A83" s="32"/>
      <c r="B83" s="72" t="s">
        <v>89</v>
      </c>
      <c r="C83" s="72"/>
      <c r="D83" s="72"/>
      <c r="E83" s="72"/>
      <c r="F83" s="72"/>
      <c r="G83" s="72"/>
      <c r="H83" s="72"/>
      <c r="I83" s="72"/>
      <c r="J83" s="72"/>
      <c r="K83" s="72"/>
      <c r="L83" s="72"/>
    </row>
    <row r="85" spans="1:14">
      <c r="C85" s="38"/>
      <c r="D85" s="38"/>
      <c r="E85" s="38"/>
      <c r="F85" s="38"/>
      <c r="G85" s="38"/>
      <c r="H85" s="38"/>
      <c r="I85" s="38"/>
    </row>
    <row r="86" spans="1:14">
      <c r="C86" s="38"/>
      <c r="D86" s="38"/>
      <c r="E86" s="38"/>
      <c r="F86" s="38"/>
      <c r="G86" s="38"/>
      <c r="H86" s="38"/>
      <c r="I86" s="38"/>
    </row>
    <row r="87" spans="1:14">
      <c r="C87" s="38"/>
      <c r="D87" s="38"/>
      <c r="E87" s="38"/>
      <c r="F87" s="38"/>
      <c r="G87" s="38"/>
      <c r="H87" s="38"/>
      <c r="I87" s="38"/>
    </row>
    <row r="88" spans="1:14">
      <c r="C88" s="38"/>
      <c r="D88" s="38"/>
      <c r="E88" s="38"/>
      <c r="F88" s="38"/>
      <c r="G88" s="38"/>
      <c r="H88" s="38"/>
      <c r="I88" s="38"/>
    </row>
    <row r="89" spans="1:14">
      <c r="C89" s="38"/>
      <c r="D89" s="38"/>
      <c r="E89" s="38"/>
      <c r="F89" s="38"/>
      <c r="G89" s="38"/>
      <c r="H89" s="38"/>
      <c r="I89" s="38"/>
    </row>
    <row r="90" spans="1:14">
      <c r="C90" s="38"/>
      <c r="D90" s="38"/>
      <c r="E90" s="38"/>
      <c r="F90" s="38"/>
      <c r="G90" s="38"/>
      <c r="H90" s="38"/>
      <c r="I90" s="38"/>
    </row>
    <row r="91" spans="1:14">
      <c r="C91" s="38"/>
      <c r="D91" s="38"/>
      <c r="E91" s="38"/>
      <c r="F91" s="38"/>
      <c r="G91" s="38"/>
      <c r="H91" s="38"/>
      <c r="I91" s="38"/>
    </row>
    <row r="92" spans="1:14" customHeight="1" ht="15.6">
      <c r="C92" s="38"/>
      <c r="D92" s="38"/>
      <c r="E92" s="38"/>
      <c r="F92" s="38"/>
      <c r="G92" s="38"/>
      <c r="H92" s="38"/>
      <c r="I92" s="38"/>
    </row>
    <row r="93" spans="1:14" customHeight="1" ht="15.6">
      <c r="C93" s="38"/>
      <c r="D93" s="38"/>
      <c r="E93" s="38"/>
      <c r="F93" s="38"/>
      <c r="G93" s="38"/>
      <c r="H93" s="38"/>
      <c r="I93" s="38"/>
    </row>
    <row r="94" spans="1:14">
      <c r="C94" s="38"/>
      <c r="D94" s="38"/>
      <c r="E94" s="38"/>
      <c r="F94" s="38"/>
      <c r="G94" s="38"/>
      <c r="H94" s="38"/>
      <c r="I94" s="38"/>
    </row>
    <row r="100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B43:E43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47"/>
  <sheetViews>
    <sheetView tabSelected="0" workbookViewId="0" showGridLines="true" showRowColHeaders="1">
      <selection activeCell="J44" sqref="J44"/>
    </sheetView>
  </sheetViews>
  <sheetFormatPr defaultRowHeight="14.4" outlineLevelRow="0" outlineLevelCol="0"/>
  <cols>
    <col min="2" max="2" width="24.708252" bestFit="true" customWidth="true" style="0"/>
    <col min="3" max="3" width="22.280273" bestFit="true" customWidth="true" style="0"/>
    <col min="4" max="4" width="24.708252" bestFit="true" customWidth="true" style="0"/>
    <col min="5" max="5" width="32.991943" bestFit="true" customWidth="true" style="0"/>
    <col min="6" max="6" width="38.847656" bestFit="true" customWidth="true" style="0"/>
    <col min="7" max="7" width="38.847656" bestFit="true" customWidth="true" style="0"/>
    <col min="8" max="8" width="45.845947" bestFit="true" customWidth="true" style="0"/>
    <col min="9" max="9" width="49.416504" bestFit="true" customWidth="true" style="0"/>
    <col min="10" max="10" width="13.996582" bestFit="true" customWidth="true" style="0"/>
  </cols>
  <sheetData>
    <row r="3" spans="1:14">
      <c r="B3" s="75" t="s">
        <v>90</v>
      </c>
      <c r="C3" s="74"/>
      <c r="D3" s="74"/>
      <c r="E3" s="74"/>
      <c r="F3" s="74"/>
      <c r="G3" s="74"/>
    </row>
    <row r="5" spans="1:14">
      <c r="B5" s="78" t="s">
        <v>91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92</v>
      </c>
    </row>
    <row r="6" spans="1:14">
      <c r="B6" s="74" t="s">
        <v>93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82">
        <v>0</v>
      </c>
      <c r="M6" s="76" t="s">
        <v>94</v>
      </c>
      <c r="N6" s="76" t="s">
        <v>95</v>
      </c>
    </row>
    <row r="7" spans="1:14">
      <c r="B7" s="74" t="s">
        <v>96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83">
        <v>0.15</v>
      </c>
      <c r="M7" s="77" t="s">
        <v>18</v>
      </c>
      <c r="N7" s="77"/>
    </row>
    <row r="8" spans="1:14">
      <c r="B8" s="74" t="s">
        <v>97</v>
      </c>
      <c r="C8" s="81">
        <v>0.5</v>
      </c>
      <c r="D8" s="81">
        <v>0.6</v>
      </c>
      <c r="E8" s="81">
        <v>0.3</v>
      </c>
      <c r="F8" s="81">
        <v>7.2</v>
      </c>
      <c r="G8" s="81">
        <v>10</v>
      </c>
      <c r="H8" s="81">
        <v>31.21</v>
      </c>
      <c r="I8" s="81">
        <v>43.8</v>
      </c>
      <c r="J8" s="74"/>
    </row>
    <row r="9" spans="1:14">
      <c r="B9" s="79" t="s">
        <v>98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74"/>
    </row>
    <row r="10" spans="1:14">
      <c r="B10" s="74" t="s">
        <v>99</v>
      </c>
      <c r="C10" s="74">
        <v>1000</v>
      </c>
      <c r="D10" s="74">
        <v>2000</v>
      </c>
      <c r="E10" s="74">
        <v>500</v>
      </c>
      <c r="F10" s="74">
        <v>500</v>
      </c>
      <c r="G10" s="74">
        <v>500</v>
      </c>
      <c r="H10" s="74">
        <v>20</v>
      </c>
      <c r="I10" s="74">
        <v>21</v>
      </c>
      <c r="J10" s="74" t="str">
        <f>SUM(C10:I10)</f>
        <v>0</v>
      </c>
    </row>
    <row r="11" spans="1:14">
      <c r="B11" s="74" t="s">
        <v>100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6" t="str">
        <f>SUM(C11:I11)</f>
        <v>0</v>
      </c>
    </row>
    <row r="12" spans="1:14">
      <c r="B12" s="79" t="s">
        <v>101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6" t="str">
        <f>SUM(C12:I12)</f>
        <v>0</v>
      </c>
    </row>
    <row r="13" spans="1:14">
      <c r="B13" s="74" t="s">
        <v>102</v>
      </c>
      <c r="C13" s="84" t="str">
        <f>C11/J11</f>
        <v>0</v>
      </c>
      <c r="D13" s="84" t="str">
        <f>D11/J11</f>
        <v>0</v>
      </c>
      <c r="E13" s="84" t="str">
        <f>E11/J11</f>
        <v>0</v>
      </c>
      <c r="F13" s="84" t="str">
        <f>F11/J11</f>
        <v>0</v>
      </c>
      <c r="G13" s="84" t="str">
        <f>G11/J11</f>
        <v>0</v>
      </c>
      <c r="H13" s="84" t="str">
        <f>H11/J11</f>
        <v>0</v>
      </c>
      <c r="I13" s="84" t="str">
        <f>I11/J11</f>
        <v>0</v>
      </c>
      <c r="J13" s="74"/>
    </row>
    <row r="14" spans="1:14">
      <c r="B14" s="74" t="s">
        <v>103</v>
      </c>
      <c r="C14" s="81" t="str">
        <f>ROUNDUP(J14*C13,2)</f>
        <v>0</v>
      </c>
      <c r="D14" s="81" t="str">
        <f>ROUNDUP(J14*D13,2)</f>
        <v>0</v>
      </c>
      <c r="E14" s="81" t="str">
        <f>ROUNDUP(J14*E13,2)</f>
        <v>0</v>
      </c>
      <c r="F14" s="81" t="str">
        <f>ROUNDUP(J14*F13,2)</f>
        <v>0</v>
      </c>
      <c r="G14" s="81" t="str">
        <f>ROUNDUP(J14*G13,2)</f>
        <v>0</v>
      </c>
      <c r="H14" s="81" t="str">
        <f>ROUNDUP(J14*H13,2)</f>
        <v>0</v>
      </c>
      <c r="I14" s="81" t="str">
        <f>ROUNDUP(J14*I13,2)</f>
        <v>0</v>
      </c>
      <c r="J14" s="86" t="str">
        <f>IF(J7&lt;1, ROUNDUP(N7*0.6, 0), ROUNDUP(N7*0.6*J7, 0))</f>
        <v>0</v>
      </c>
    </row>
    <row r="15" spans="1:14">
      <c r="B15" s="74" t="s">
        <v>104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6" t="str">
        <f>SUM(C15:I15)</f>
        <v>0</v>
      </c>
    </row>
    <row r="16" spans="1:14">
      <c r="B16" s="79" t="s">
        <v>105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6" t="str">
        <f>SUM(C16:I16)</f>
        <v>0</v>
      </c>
    </row>
    <row r="17" spans="1:14">
      <c r="B17" s="74" t="s">
        <v>106</v>
      </c>
      <c r="C17" s="81" t="str">
        <f>IF(J15&gt;5000,ROUND(100*C13,2),ROUND(50*C13,2))</f>
        <v>0</v>
      </c>
      <c r="D17" s="81" t="str">
        <f>IF(J15&gt;5000,ROUND(100*D13,2),ROUND(50*D13,2))</f>
        <v>0</v>
      </c>
      <c r="E17" s="81" t="str">
        <f>IF(J15&gt;5000,ROUND(100*E13,2),ROUND(50*E13,2))</f>
        <v>0</v>
      </c>
      <c r="F17" s="81" t="str">
        <f>IF(J15&gt;5000,ROUND(100*F13,2),ROUND(50*F13,2))</f>
        <v>0</v>
      </c>
      <c r="G17" s="81" t="str">
        <f>IF(J15&gt;5000,ROUND(100*G13,2),ROUND(50*G13,2))</f>
        <v>0</v>
      </c>
      <c r="H17" s="81" t="str">
        <f>IF(J15&gt;5000,ROUND(100*H13,2),ROUND(50*H13,2))</f>
        <v>0</v>
      </c>
      <c r="I17" s="81" t="str">
        <f>IF(J15&gt;5000,ROUND(100*I13,2),ROUND(50*I13,2))</f>
        <v>0</v>
      </c>
      <c r="J17" s="86" t="str">
        <f>SUM(C17:I17)</f>
        <v>0</v>
      </c>
    </row>
    <row r="18" spans="1:14">
      <c r="B18" s="74" t="s">
        <v>107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6" t="str">
        <f>SUM(C18:I18)</f>
        <v>0</v>
      </c>
    </row>
    <row r="19" spans="1:14">
      <c r="B19" s="79" t="s">
        <v>108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6" t="str">
        <f>SUM(C19:I19)</f>
        <v>0</v>
      </c>
    </row>
    <row r="23" spans="1:14">
      <c r="B23" s="75" t="s">
        <v>109</v>
      </c>
      <c r="C23" s="74"/>
      <c r="D23" s="74"/>
      <c r="E23" s="74"/>
    </row>
    <row r="26" spans="1:14">
      <c r="B26" s="74" t="s">
        <v>110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 t="str">
        <f>SUM(C26:I26)</f>
        <v>0</v>
      </c>
    </row>
    <row r="27" spans="1:14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4" t="str">
        <f>SUM(C27:I27)</f>
        <v>0</v>
      </c>
    </row>
    <row r="28" spans="1:14">
      <c r="B28" s="74" t="s">
        <v>111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SUM(C28:I28)</f>
        <v>0</v>
      </c>
    </row>
    <row r="29" spans="1:14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SUM(C29:I29)</f>
        <v>0</v>
      </c>
    </row>
    <row r="30" spans="1:14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SUM(C30:I30)</f>
        <v>0</v>
      </c>
    </row>
    <row r="31" spans="1:14">
      <c r="B31" s="74" t="s">
        <v>112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SUM(C31:I31)</f>
        <v>0</v>
      </c>
    </row>
    <row r="32" spans="1:14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</row>
    <row r="37" spans="1:14">
      <c r="B37" s="75" t="s">
        <v>113</v>
      </c>
      <c r="C37" s="74"/>
      <c r="D37" s="74"/>
      <c r="E37" s="74"/>
    </row>
    <row r="40" spans="1:14">
      <c r="B40" s="74" t="s">
        <v>114</v>
      </c>
      <c r="C40" s="81" t="str">
        <f>C13*J40</f>
        <v>0</v>
      </c>
      <c r="D40" s="81" t="str">
        <f>D13*J40</f>
        <v>0</v>
      </c>
      <c r="E40" s="81" t="str">
        <f>E13*J40</f>
        <v>0</v>
      </c>
      <c r="F40" s="81" t="str">
        <f>F13*J40</f>
        <v>0</v>
      </c>
      <c r="G40" s="81" t="str">
        <f>G13*J40</f>
        <v>0</v>
      </c>
      <c r="H40" s="81" t="str">
        <f>H13*J40</f>
        <v>0</v>
      </c>
      <c r="I40" s="81" t="str">
        <f>I13*J40</f>
        <v>0</v>
      </c>
      <c r="J40" s="81" t="str">
        <f>IF(J7&lt;1, ROUNDUP(N7*0.4, 0), ROUNDUP(N7*0.4*J7, 0))</f>
        <v>0</v>
      </c>
    </row>
    <row r="41" spans="1:14">
      <c r="B41"/>
    </row>
    <row r="43" spans="1:14">
      <c r="B43" s="74" t="s">
        <v>114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92</v>
      </c>
    </row>
    <row r="44" spans="1:14">
      <c r="B44" s="74" t="s">
        <v>115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SUM(C44:I44)</f>
        <v>0</v>
      </c>
    </row>
    <row r="45" spans="1:14">
      <c r="B45" s="74" t="s">
        <v>45</v>
      </c>
      <c r="C45" s="74">
        <v>1000</v>
      </c>
      <c r="D45" s="74">
        <v>2000</v>
      </c>
      <c r="E45" s="74">
        <v>500</v>
      </c>
      <c r="F45" s="74">
        <v>500</v>
      </c>
      <c r="G45" s="74">
        <v>500</v>
      </c>
      <c r="H45" s="74">
        <v>20</v>
      </c>
      <c r="I45" s="74">
        <v>21</v>
      </c>
      <c r="J45" s="74"/>
    </row>
    <row r="46" spans="1:14">
      <c r="B46" s="74" t="s">
        <v>116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74"/>
    </row>
    <row r="47" spans="1:14">
      <c r="B47" s="74" t="s">
        <v>117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