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'1'!$A$1:$M$107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<sst xmlns="http://schemas.openxmlformats.org/spreadsheetml/2006/main" uniqueCount="122">
  <si>
    <t>PRO MUNDO COMEX S.A.C.</t>
  </si>
  <si>
    <t xml:space="preserve">         RUC: 20612452432</t>
  </si>
  <si>
    <t>COTIZACION N002</t>
  </si>
  <si>
    <t>NOMBRE:</t>
  </si>
  <si>
    <t>JOSSELINE MERCEDES ROBLES TORRES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</si>
  <si>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</si>
  <si>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</si>
  <si>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</si>
  <si>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</si>
  <si>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</si>
  <si>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</si>
  <si>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</si>
  <si>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</si>
  <si>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</si>
  <si>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</si>
  <si>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</si>
  <si>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</si>
  <si>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</si>
  <si>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</si>
  <si>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</si>
  <si>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</si>
  <si>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</si>
  <si>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</si>
  <si>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</si>
  <si>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</si>
  <si>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</si>
  <si>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</si>
  <si>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</si>
  <si>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</si>
  <si>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</si>
  <si>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JOSSELINE MERCEDES ROBLES TORRES 😁 un gusto saludarte!
        A continuación te envío la cotización final de tu importación📋📦.
        🙋‍♂️ PAGO PENDIENTE :
        ☑️Costo CBM: $0
        ☑️Impuestos: $346.56
        ☑️ Total: $346.56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</si>
  <si>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</si>
  <si>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</si>
  <si>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</si>
  <si>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</si>
  <si>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</si>
  <si>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</si>
  <si>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</si>
  <si>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</si>
  <si>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</si>
  <si>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</si>
  <si>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</si>
  <si>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</si>
  <si>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</si>
  <si>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</si>
  <si>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</si>
  <si>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</si>
  <si>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</si>
  <si>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</si>
  <si>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EMBRAGUE DE LIBERACIÓN PARA BATERIA ACUSTICA</t>
  </si>
  <si>
    <t>ABRAZADERA PARA TABOR DE BATERÍA ACUSTICA</t>
  </si>
  <si>
    <t>SET DE SEGURO PARA PLATILLOS</t>
  </si>
  <si>
    <t>TUERCAS PARA PLATILLOS DE BATERIA</t>
  </si>
  <si>
    <t>SOPORTE DE CAMPANA DE TAMBOR</t>
  </si>
  <si>
    <t>PANDERETA PARA TAROLA DE BATERIA</t>
  </si>
  <si>
    <t>MAZO PARA PEDAL DE BOMBO MODELO 1</t>
  </si>
  <si>
    <t>MAZO PARA PEDAL DE BOMBO MODELO 2</t>
  </si>
  <si>
    <t>SOPORTE PARA BAQUETAS</t>
  </si>
  <si>
    <t>ARO DE TAMBOR PARA BATERÍA</t>
  </si>
  <si>
    <t>BAQUETAS PARA BATERIA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</si>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</sst>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png"/><Relationship Id="rId2" Type="http://schemas.openxmlformats.org/officeDocument/2006/relationships/image" Target="../media/image145.png"/><Relationship Id="rId3" Type="http://schemas.openxmlformats.org/officeDocument/2006/relationships/image" Target="../media/image24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52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88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4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97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96" t="s">
        <v>11</v>
      </c>
      <c r="K9" s="39"/>
      <c r="L9" s="39"/>
    </row>
    <row r="10" spans="1:14">
      <c r="B10" s="8" t="s">
        <v>12</v>
      </c>
      <c r="C10" s="16"/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96"/>
      <c r="L10" s="63"/>
    </row>
    <row r="11" spans="1:14">
      <c r="B11" s="8" t="s">
        <v>16</v>
      </c>
      <c r="C11" s="17"/>
      <c r="D11" s="35"/>
      <c r="E11" s="24" t="s">
        <v>17</v>
      </c>
      <c r="F11" s="48" t="s">
        <v>18</v>
      </c>
      <c r="G11" s="65"/>
      <c r="H11" s="33"/>
      <c r="I11" s="1" t="s">
        <v>19</v>
      </c>
      <c r="J11" s="95" t="str">
        <f>'2'!N7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20</v>
      </c>
      <c r="C13" s="66"/>
      <c r="D13" s="66"/>
      <c r="E13" s="66"/>
      <c r="F13" s="66"/>
      <c r="G13" s="66"/>
      <c r="H13" s="66"/>
      <c r="I13" s="66"/>
      <c r="J13" s="66"/>
      <c r="K13" s="10" t="s">
        <v>21</v>
      </c>
      <c r="L13" s="10" t="s">
        <v>22</v>
      </c>
    </row>
    <row r="14" spans="1:14">
      <c r="B14" s="67" t="s">
        <v>23</v>
      </c>
      <c r="C14" s="67"/>
      <c r="D14" s="67"/>
      <c r="E14" s="67"/>
      <c r="F14" s="67"/>
      <c r="G14" s="67"/>
      <c r="H14" s="67"/>
      <c r="I14" s="67"/>
      <c r="J14" s="67"/>
      <c r="K14" s="14" t="str">
        <f>'2'!N11</f>
        <v>0</v>
      </c>
      <c r="L14" s="9" t="s">
        <v>24</v>
      </c>
    </row>
    <row r="15" spans="1:14">
      <c r="B15" s="68" t="s">
        <v>25</v>
      </c>
      <c r="C15" s="68"/>
      <c r="D15" s="68"/>
      <c r="E15" s="68"/>
      <c r="F15" s="68"/>
      <c r="G15" s="68"/>
      <c r="H15" s="68"/>
      <c r="I15" s="68"/>
      <c r="J15" s="68"/>
      <c r="K15" s="15" t="str">
        <f>'2'!N14 + '2'!N17</f>
        <v>0</v>
      </c>
      <c r="L15" s="12" t="s">
        <v>24</v>
      </c>
    </row>
    <row r="16" spans="1:14">
      <c r="B16" s="51" t="s">
        <v>26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27</v>
      </c>
      <c r="C19" s="69"/>
      <c r="D19" s="69"/>
      <c r="E19" s="69"/>
      <c r="F19" s="69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49" t="s">
        <v>29</v>
      </c>
      <c r="C20" s="49"/>
      <c r="D20" s="49"/>
      <c r="E20" s="49"/>
      <c r="F20" s="49"/>
      <c r="G20" s="49"/>
      <c r="H20" s="49"/>
      <c r="I20" s="49"/>
      <c r="J20" s="20" t="str">
        <f>MAX('2'!C27:M27)</f>
        <v>0</v>
      </c>
      <c r="K20" s="14" t="str">
        <f>'2'!N28</f>
        <v>0</v>
      </c>
      <c r="L20" s="9" t="s">
        <v>24</v>
      </c>
      <c r="N20" t="s">
        <v>30</v>
      </c>
    </row>
    <row r="21" spans="1:14">
      <c r="B21" s="49" t="s">
        <v>31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'2'!N29</f>
        <v>0</v>
      </c>
      <c r="L21" s="9" t="s">
        <v>24</v>
      </c>
    </row>
    <row r="22" spans="1:14">
      <c r="B22" s="48" t="s">
        <v>32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'2'!N30</f>
        <v>0</v>
      </c>
      <c r="L22" s="9" t="s">
        <v>24</v>
      </c>
    </row>
    <row r="23" spans="1:14">
      <c r="B23" s="51" t="s">
        <v>33</v>
      </c>
      <c r="C23" s="51"/>
      <c r="D23" s="51"/>
      <c r="E23" s="51"/>
      <c r="F23" s="51"/>
      <c r="G23" s="51"/>
      <c r="H23" s="51"/>
      <c r="I23" s="51"/>
      <c r="J23" s="29"/>
      <c r="K23" s="30" t="str">
        <f>SUM(K20:K22)</f>
        <v>0</v>
      </c>
      <c r="L23" s="29" t="s">
        <v>24</v>
      </c>
    </row>
    <row r="24" spans="1:14">
      <c r="B24" s="49"/>
      <c r="C24" s="49"/>
      <c r="D24" s="49"/>
      <c r="E24" s="49"/>
      <c r="F24" s="49"/>
      <c r="G24" s="49"/>
      <c r="H24" s="49"/>
      <c r="I24" s="49"/>
      <c r="J24" s="2"/>
      <c r="K24" s="11"/>
      <c r="L24" s="9"/>
    </row>
    <row r="25" spans="1:14">
      <c r="B25" s="48" t="s">
        <v>34</v>
      </c>
      <c r="C25" s="48"/>
      <c r="D25" s="48"/>
      <c r="E25" s="48"/>
      <c r="F25" s="48"/>
      <c r="G25" s="48"/>
      <c r="H25" s="48"/>
      <c r="I25" s="48"/>
      <c r="J25" s="21" t="s">
        <v>35</v>
      </c>
      <c r="K25" s="15" t="str">
        <f>'2'!N31</f>
        <v>0</v>
      </c>
      <c r="L25" s="12" t="s">
        <v>24</v>
      </c>
    </row>
    <row r="26" spans="1:14">
      <c r="B26" s="51" t="s">
        <v>36</v>
      </c>
      <c r="C26" s="51"/>
      <c r="D26" s="51"/>
      <c r="E26" s="51"/>
      <c r="F26" s="51"/>
      <c r="G26" s="51"/>
      <c r="H26" s="51"/>
      <c r="I26" s="51"/>
      <c r="K26" s="14" t="str">
        <f>K23+K25</f>
        <v>0</v>
      </c>
      <c r="L26" s="9" t="s">
        <v>24</v>
      </c>
    </row>
    <row r="27" spans="1:14">
      <c r="B27" s="43"/>
      <c r="C27" s="43"/>
      <c r="D27" s="43"/>
      <c r="E27" s="43"/>
      <c r="F27" s="43"/>
      <c r="G27" s="43"/>
      <c r="H27" s="43"/>
      <c r="I27" s="43"/>
    </row>
    <row r="28" spans="1:14" customHeight="1" ht="15.6">
      <c r="B28" s="52" t="s">
        <v>37</v>
      </c>
      <c r="C28" s="52"/>
      <c r="D28" s="52"/>
      <c r="E28" s="52"/>
      <c r="F28" s="52"/>
      <c r="G28" s="52"/>
      <c r="H28" s="52"/>
      <c r="I28" s="52"/>
      <c r="J28" s="52"/>
      <c r="K28" s="28" t="s">
        <v>21</v>
      </c>
      <c r="L28" s="28" t="s">
        <v>22</v>
      </c>
    </row>
    <row r="29" spans="1:14">
      <c r="B29" s="49" t="s">
        <v>38</v>
      </c>
      <c r="C29" s="49"/>
      <c r="D29" s="49"/>
      <c r="E29" s="49"/>
      <c r="F29" s="49"/>
      <c r="G29" s="49"/>
      <c r="H29" s="49"/>
      <c r="I29" s="49"/>
      <c r="J29" s="49"/>
      <c r="K29" s="14" t="str">
        <f>K14</f>
        <v>0</v>
      </c>
      <c r="L29" s="9" t="s">
        <v>24</v>
      </c>
    </row>
    <row r="30" spans="1:14">
      <c r="B30" s="49" t="s">
        <v>39</v>
      </c>
      <c r="C30" s="49"/>
      <c r="D30" s="49"/>
      <c r="E30" s="49"/>
      <c r="F30" s="49"/>
      <c r="G30" s="49"/>
      <c r="H30" s="49"/>
      <c r="I30" s="49"/>
      <c r="J30" s="49"/>
      <c r="K30" s="14" t="str">
        <f>IF('2'!R7&lt;1, '2'!R7*J11, '2'!R7*J11)</f>
        <v>0</v>
      </c>
      <c r="L30" s="9" t="s">
        <v>24</v>
      </c>
    </row>
    <row r="31" spans="1:14">
      <c r="B31" s="48" t="s">
        <v>40</v>
      </c>
      <c r="C31" s="48"/>
      <c r="D31" s="48"/>
      <c r="E31" s="48"/>
      <c r="F31" s="48"/>
      <c r="G31" s="48"/>
      <c r="H31" s="48"/>
      <c r="I31" s="48"/>
      <c r="J31" s="48"/>
      <c r="K31" s="15" t="str">
        <f>K26</f>
        <v>0</v>
      </c>
      <c r="L31" s="12" t="s">
        <v>24</v>
      </c>
    </row>
    <row r="32" spans="1:14">
      <c r="B32" s="51" t="s">
        <v>41</v>
      </c>
      <c r="C32" s="51"/>
      <c r="D32" s="51"/>
      <c r="E32" s="51"/>
      <c r="F32" s="51"/>
      <c r="G32" s="51"/>
      <c r="H32" s="51"/>
      <c r="I32" s="51"/>
      <c r="J32" s="51"/>
      <c r="K32" s="14" t="str">
        <f>SUM(K29:K31)</f>
        <v>0</v>
      </c>
      <c r="L32" s="9" t="s">
        <v>24</v>
      </c>
    </row>
    <row r="33" spans="1:14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4">
      <c r="B34" s="59" t="s">
        <v>42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4">
      <c r="B35" s="19" t="s">
        <v>43</v>
      </c>
      <c r="C35" s="56" t="s">
        <v>44</v>
      </c>
      <c r="D35" s="57"/>
      <c r="E35" s="58"/>
      <c r="F35" s="4" t="s">
        <v>45</v>
      </c>
      <c r="G35" s="56" t="s">
        <v>46</v>
      </c>
      <c r="H35" s="58"/>
      <c r="I35" s="3" t="s">
        <v>47</v>
      </c>
      <c r="J35" s="26" t="s">
        <v>36</v>
      </c>
      <c r="K35" s="47" t="s">
        <v>48</v>
      </c>
      <c r="L35" s="47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88" t="str">
        <f>'2'!C8</f>
        <v>0</v>
      </c>
      <c r="H36" s="6"/>
      <c r="I36" s="88" t="str">
        <f>'2'!C46</f>
        <v>0</v>
      </c>
      <c r="J36" s="88" t="str">
        <f>'2'!C44</f>
        <v>0</v>
      </c>
      <c r="K36" s="89" t="str">
        <f>'2'!C47</f>
        <v>0</v>
      </c>
      <c r="L36" s="47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88" t="str">
        <f>'2'!D8</f>
        <v>0</v>
      </c>
      <c r="H37" s="6"/>
      <c r="I37" s="88" t="str">
        <f>'2'!D46</f>
        <v>0</v>
      </c>
      <c r="J37" s="88" t="str">
        <f>'2'!D44</f>
        <v>0</v>
      </c>
      <c r="K37" s="89" t="str">
        <f>'2'!D47</f>
        <v>0</v>
      </c>
      <c r="L37" s="47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88" t="str">
        <f>'2'!E8</f>
        <v>0</v>
      </c>
      <c r="H38" s="6"/>
      <c r="I38" s="88" t="str">
        <f>'2'!E46</f>
        <v>0</v>
      </c>
      <c r="J38" s="88" t="str">
        <f>'2'!E44</f>
        <v>0</v>
      </c>
      <c r="K38" s="89" t="str">
        <f>'2'!E47</f>
        <v>0</v>
      </c>
      <c r="L38" s="47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88" t="str">
        <f>'2'!F8</f>
        <v>0</v>
      </c>
      <c r="H39" s="5"/>
      <c r="I39" s="88" t="str">
        <f>'2'!F46</f>
        <v>0</v>
      </c>
      <c r="J39" s="88" t="str">
        <f>'2'!F44</f>
        <v>0</v>
      </c>
      <c r="K39" s="89" t="str">
        <f>'2'!F47</f>
        <v>0</v>
      </c>
      <c r="L39" s="90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88" t="str">
        <f>'2'!G8</f>
        <v>0</v>
      </c>
      <c r="H40" s="5"/>
      <c r="I40" s="88" t="str">
        <f>'2'!G46</f>
        <v>0</v>
      </c>
      <c r="J40" s="88" t="str">
        <f>'2'!G44</f>
        <v>0</v>
      </c>
      <c r="K40" s="89" t="str">
        <f>'2'!G47</f>
        <v>0</v>
      </c>
      <c r="L40" s="90"/>
    </row>
    <row r="41" spans="1:14">
      <c r="B41" s="5">
        <v>6</v>
      </c>
      <c r="C41" s="5" t="s">
        <v>54</v>
      </c>
      <c r="D41" s="5"/>
      <c r="E41" s="5"/>
      <c r="F41" s="5" t="str">
        <f>'2'!H10</f>
        <v>0</v>
      </c>
      <c r="G41" s="88" t="str">
        <f>'2'!H8</f>
        <v>0</v>
      </c>
      <c r="H41" s="5"/>
      <c r="I41" s="88" t="str">
        <f>'2'!H46</f>
        <v>0</v>
      </c>
      <c r="J41" s="88" t="str">
        <f>'2'!H44</f>
        <v>0</v>
      </c>
      <c r="K41" s="89" t="str">
        <f>'2'!H47</f>
        <v>0</v>
      </c>
      <c r="L41" s="31"/>
    </row>
    <row r="42" spans="1:14" customHeight="1" ht="18">
      <c r="B42" s="91">
        <v>7</v>
      </c>
      <c r="C42" s="5" t="s">
        <v>55</v>
      </c>
      <c r="D42" s="5"/>
      <c r="E42" s="5"/>
      <c r="F42" s="5" t="str">
        <f>'2'!I10</f>
        <v>0</v>
      </c>
      <c r="G42" s="88" t="str">
        <f>'2'!I8</f>
        <v>0</v>
      </c>
      <c r="H42" s="5"/>
      <c r="I42" s="88" t="str">
        <f>'2'!I46</f>
        <v>0</v>
      </c>
      <c r="J42" s="88" t="str">
        <f>'2'!I44</f>
        <v>0</v>
      </c>
      <c r="K42" s="89" t="str">
        <f>'2'!I47</f>
        <v>0</v>
      </c>
      <c r="L42" s="3"/>
    </row>
    <row r="43" spans="1:14" customHeight="1" ht="18">
      <c r="B43" s="91">
        <v>8</v>
      </c>
      <c r="C43" s="5" t="s">
        <v>56</v>
      </c>
      <c r="D43" s="5"/>
      <c r="E43" s="5"/>
      <c r="F43" s="5" t="str">
        <f>'2'!J10</f>
        <v>0</v>
      </c>
      <c r="G43" s="88" t="str">
        <f>'2'!J8</f>
        <v>0</v>
      </c>
      <c r="H43" s="5"/>
      <c r="I43" s="88" t="str">
        <f>'2'!J46</f>
        <v>0</v>
      </c>
      <c r="J43" s="88" t="str">
        <f>'2'!J44</f>
        <v>0</v>
      </c>
      <c r="K43" s="89" t="str">
        <f>'2'!J47</f>
        <v>0</v>
      </c>
      <c r="L43" s="3"/>
    </row>
    <row r="44" spans="1:14" customHeight="1" ht="18">
      <c r="B44" s="91">
        <v>9</v>
      </c>
      <c r="C44" s="5" t="s">
        <v>57</v>
      </c>
      <c r="D44" s="5"/>
      <c r="E44" s="5"/>
      <c r="F44" s="5" t="str">
        <f>'2'!K10</f>
        <v>0</v>
      </c>
      <c r="G44" s="88" t="str">
        <f>'2'!K8</f>
        <v>0</v>
      </c>
      <c r="H44" s="5"/>
      <c r="I44" s="88" t="str">
        <f>'2'!K46</f>
        <v>0</v>
      </c>
      <c r="J44" s="88" t="str">
        <f>'2'!K44</f>
        <v>0</v>
      </c>
      <c r="K44" s="89" t="str">
        <f>'2'!K47</f>
        <v>0</v>
      </c>
      <c r="L44" s="3"/>
    </row>
    <row r="45" spans="1:14" customHeight="1" ht="18">
      <c r="B45" s="91">
        <v>10</v>
      </c>
      <c r="C45" s="5" t="s">
        <v>58</v>
      </c>
      <c r="D45" s="5"/>
      <c r="E45" s="5"/>
      <c r="F45" s="5" t="str">
        <f>'2'!L10</f>
        <v>0</v>
      </c>
      <c r="G45" s="88" t="str">
        <f>'2'!L8</f>
        <v>0</v>
      </c>
      <c r="H45" s="5"/>
      <c r="I45" s="88" t="str">
        <f>'2'!L46</f>
        <v>0</v>
      </c>
      <c r="J45" s="88" t="str">
        <f>'2'!L44</f>
        <v>0</v>
      </c>
      <c r="K45" s="89" t="str">
        <f>'2'!L47</f>
        <v>0</v>
      </c>
      <c r="L45" s="3"/>
    </row>
    <row r="46" spans="1:14" customHeight="1" ht="18">
      <c r="B46" s="91">
        <v>11</v>
      </c>
      <c r="C46" s="5" t="s">
        <v>59</v>
      </c>
      <c r="D46" s="5"/>
      <c r="E46" s="5"/>
      <c r="F46" s="5" t="str">
        <f>'2'!M10</f>
        <v>0</v>
      </c>
      <c r="G46" s="88" t="str">
        <f>'2'!M8</f>
        <v>0</v>
      </c>
      <c r="H46" s="5"/>
      <c r="I46" s="88" t="str">
        <f>'2'!M46</f>
        <v>0</v>
      </c>
      <c r="J46" s="88" t="str">
        <f>'2'!M44</f>
        <v>0</v>
      </c>
      <c r="K46" s="89" t="str">
        <f>'2'!M47</f>
        <v>0</v>
      </c>
      <c r="L46" s="3"/>
    </row>
    <row r="47" spans="1:14" customHeight="1" ht="18">
      <c r="B47" s="93" t="s">
        <v>36</v>
      </c>
      <c r="C47" s="92"/>
      <c r="D47" s="92"/>
      <c r="E47" s="92"/>
      <c r="F47" s="93" t="str">
        <f>SUM(F36:F46)</f>
        <v>0</v>
      </c>
      <c r="G47" s="64"/>
      <c r="H47" s="64"/>
      <c r="I47" s="64"/>
      <c r="J47" s="94" t="str">
        <f>SUM(J36:J46)</f>
        <v>0</v>
      </c>
      <c r="K47" s="64"/>
      <c r="L47" s="64"/>
    </row>
    <row r="48" spans="1:14" customHeight="1" ht="18">
      <c r="B48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No se emite comprobante por concepto de "PERCEPCIÓN, ANTI DUMPING, GESTIÓN DE COMPRA"</t>
          </r>
        </is>
      </c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1:14" customHeight="1" ht="18">
      <c r="B49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A nosotros se nos pagan los </t>
          </r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Gastos Logísticos + Impuestos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 una semana antes de que el contenedor</t>
          </r>
        </is>
      </c>
      <c r="C49" s="64"/>
      <c r="D49" s="64"/>
      <c r="E49" s="64"/>
      <c r="F49" s="64"/>
      <c r="G49" s="64"/>
      <c r="H49" s="64"/>
      <c r="I49" s="64"/>
      <c r="J49" s="64"/>
      <c r="K49" s="64"/>
      <c r="L49" s="64"/>
    </row>
    <row r="50" spans="1:14" customHeight="1" ht="18">
      <c r="B50" s="64" t="s">
        <v>62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</row>
    <row r="51" spans="1:14" customHeight="1" ht="18">
      <c r="B51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El tipo de cambio referencial usado para la conversión a soles es del 3.70</t>
          </r>
        </is>
      </c>
      <c r="C51" s="64"/>
      <c r="D51" s="64"/>
      <c r="E51" s="64"/>
      <c r="F51" s="64"/>
      <c r="G51" s="64"/>
      <c r="H51" s="64"/>
      <c r="I51" s="64"/>
      <c r="J51" s="64"/>
      <c r="K51" s="64"/>
      <c r="L51" s="64"/>
    </row>
    <row r="52" spans="1:14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4" customHeight="1" ht="9">
      <c r="B53" s="38"/>
      <c r="C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4" customHeight="1" ht="31.8">
      <c r="B54" s="38"/>
      <c r="C54" s="38"/>
      <c r="D54" s="37" t="s">
        <v>0</v>
      </c>
      <c r="E54" s="37"/>
      <c r="F54" s="37"/>
      <c r="G54" s="37"/>
      <c r="H54" s="37"/>
      <c r="I54" s="37"/>
      <c r="J54" s="37"/>
      <c r="K54" s="37"/>
      <c r="L54" s="37"/>
      <c r="M54" s="37"/>
    </row>
    <row r="55" spans="1:14" customHeight="1" ht="21">
      <c r="B55" s="38"/>
      <c r="C55" s="38"/>
      <c r="D55" s="53" t="s">
        <v>64</v>
      </c>
      <c r="E55" s="53"/>
      <c r="F55" s="53"/>
      <c r="G55" s="53"/>
      <c r="H55" s="53"/>
      <c r="I55" s="53"/>
    </row>
    <row r="56" spans="1:14">
      <c r="B56" s="38"/>
      <c r="C56" s="38"/>
    </row>
    <row r="57" spans="1:14">
      <c r="B57" s="38"/>
      <c r="C57" s="38"/>
    </row>
    <row r="58" spans="1:14" customHeight="1" ht="21">
      <c r="B58" s="70" t="s">
        <v>65</v>
      </c>
      <c r="C58" s="70"/>
      <c r="D58" s="70"/>
      <c r="E58" s="70"/>
      <c r="F58" s="70"/>
      <c r="G58" s="70"/>
      <c r="H58" s="70"/>
      <c r="I58" s="70"/>
      <c r="J58" s="70"/>
      <c r="K58" s="70"/>
      <c r="L58" s="70"/>
    </row>
    <row r="60" spans="1:14">
      <c r="B60" s="71" t="s">
        <v>66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4">
      <c r="B61" s="71" t="s">
        <v>67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</row>
    <row r="62" spans="1:14">
      <c r="B62" s="49" t="s">
        <v>68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</row>
    <row r="63" spans="1:14">
      <c r="B63" s="71" t="s">
        <v>69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4">
      <c r="B64" s="71" t="s">
        <v>70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spans="1:14">
      <c r="B65" s="49" t="s">
        <v>71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</row>
    <row r="66" spans="1:14">
      <c r="B66" s="71" t="s">
        <v>72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4">
      <c r="B67" s="71" t="s">
        <v>73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4">
      <c r="B68" s="71" t="s">
        <v>74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4">
      <c r="B69" s="71" t="s">
        <v>75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4">
      <c r="B70" s="71" t="s">
        <v>76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4">
      <c r="B71" s="71" t="s">
        <v>77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4">
      <c r="B72" s="71" t="s">
        <v>78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4">
      <c r="B73" s="71" t="s">
        <v>79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71" t="s">
        <v>80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4">
      <c r="B75" s="71" t="s">
        <v>81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1" t="inlineStr">
        <is>
          <r>
            <t xml:space="preserve">13.</t>
          </r>
          <r>
            <rPr>
              <rFont val="Calibri Light"/>
              <b val="false"/>
              <i val="false"/>
              <strike val="false"/>
              <color rgb="FF000000"/>
              <sz val="7"/>
              <u val="none"/>
            </rPr>
            <t xml:space="preserve"> </t>
          </r>
          <r>
            <rPr>
              <rFont val="Calibri Light"/>
              <b val="false"/>
              <i val="false"/>
              <strike val="false"/>
              <color rgb="FF000000"/>
              <sz val="11"/>
              <u val="none"/>
            </rPr>
            <t xml:space="preserve">Los documentos de importación deber ser entregados a tiempo, de lo contrario, el participante no tendrá opción</t>
          </r>
        </is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4">
      <c r="B77" s="67" t="s">
        <v>83</v>
      </c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1:14">
      <c r="B78" s="71" t="s">
        <v>84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67" t="s">
        <v>85</v>
      </c>
      <c r="C79" s="67"/>
      <c r="D79" s="67"/>
      <c r="E79" s="67"/>
      <c r="F79" s="67"/>
      <c r="G79" s="67"/>
      <c r="H79" s="67"/>
      <c r="I79" s="67"/>
      <c r="J79" s="67"/>
      <c r="K79" s="67"/>
      <c r="L79" s="67"/>
    </row>
    <row r="80" spans="1:14">
      <c r="B80" s="71" t="s">
        <v>86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4">
      <c r="B81" s="71" t="s">
        <v>87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B82" s="71" t="s">
        <v>88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B83" s="71" t="s">
        <v>89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4">
      <c r="B84" s="71" t="s">
        <v>90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4">
      <c r="A85" s="32"/>
      <c r="B85" s="72" t="s">
        <v>91</v>
      </c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1:14">
      <c r="A86" s="32"/>
      <c r="B86" s="71" t="s">
        <v>92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4">
      <c r="A87" s="32"/>
      <c r="B87" s="72" t="s">
        <v>93</v>
      </c>
      <c r="C87" s="72"/>
      <c r="D87" s="72"/>
      <c r="E87" s="72"/>
      <c r="F87" s="72"/>
      <c r="G87" s="72"/>
      <c r="H87" s="72"/>
      <c r="I87" s="72"/>
      <c r="J87" s="72"/>
      <c r="K87" s="72"/>
      <c r="L87" s="72"/>
    </row>
    <row r="89" spans="1:14">
      <c r="C89" s="38"/>
      <c r="D89" s="38"/>
      <c r="E89" s="38"/>
      <c r="F89" s="38"/>
      <c r="G89" s="38"/>
      <c r="H89" s="38"/>
      <c r="I89" s="38"/>
    </row>
    <row r="90" spans="1:14">
      <c r="C90" s="38"/>
      <c r="D90" s="38"/>
      <c r="E90" s="38"/>
      <c r="F90" s="38"/>
      <c r="G90" s="38"/>
      <c r="H90" s="38"/>
      <c r="I90" s="38"/>
    </row>
    <row r="91" spans="1:14">
      <c r="C91" s="38"/>
      <c r="D91" s="38"/>
      <c r="E91" s="38"/>
      <c r="F91" s="38"/>
      <c r="G91" s="38"/>
      <c r="H91" s="38"/>
      <c r="I91" s="38"/>
    </row>
    <row r="92" spans="1:14">
      <c r="C92" s="38"/>
      <c r="D92" s="38"/>
      <c r="E92" s="38"/>
      <c r="F92" s="38"/>
      <c r="G92" s="38"/>
      <c r="H92" s="38"/>
      <c r="I92" s="38"/>
    </row>
    <row r="93" spans="1:14">
      <c r="C93" s="38"/>
      <c r="D93" s="38"/>
      <c r="E93" s="38"/>
      <c r="F93" s="38"/>
      <c r="G93" s="38"/>
      <c r="H93" s="38"/>
      <c r="I93" s="38"/>
    </row>
    <row r="94" spans="1:14">
      <c r="C94" s="38"/>
      <c r="D94" s="38"/>
      <c r="E94" s="38"/>
      <c r="F94" s="38"/>
      <c r="G94" s="38"/>
      <c r="H94" s="38"/>
      <c r="I94" s="38"/>
    </row>
    <row r="95" spans="1:14">
      <c r="C95" s="38"/>
      <c r="D95" s="38"/>
      <c r="E95" s="38"/>
      <c r="F95" s="38"/>
      <c r="G95" s="38"/>
      <c r="H95" s="38"/>
      <c r="I95" s="38"/>
    </row>
    <row r="96" spans="1:14" customHeight="1" ht="15.6">
      <c r="C96" s="38"/>
      <c r="D96" s="38"/>
      <c r="E96" s="38"/>
      <c r="F96" s="38"/>
      <c r="G96" s="38"/>
      <c r="H96" s="38"/>
      <c r="I96" s="38"/>
    </row>
    <row r="97" spans="1:14" customHeight="1" ht="15.6">
      <c r="C97" s="38"/>
      <c r="D97" s="38"/>
      <c r="E97" s="38"/>
      <c r="F97" s="38"/>
      <c r="G97" s="38"/>
      <c r="H97" s="38"/>
      <c r="I97" s="38"/>
    </row>
    <row r="98" spans="1:14">
      <c r="C98" s="38"/>
      <c r="D98" s="38"/>
      <c r="E98" s="38"/>
      <c r="F98" s="38"/>
      <c r="G98" s="38"/>
      <c r="H98" s="38"/>
      <c r="I98" s="38"/>
    </row>
    <row r="104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7:L77"/>
    <mergeCell ref="B78:L78"/>
    <mergeCell ref="A7:C7"/>
    <mergeCell ref="I7:L7"/>
    <mergeCell ref="B62:L62"/>
    <mergeCell ref="B51:L51"/>
    <mergeCell ref="C38:E38"/>
    <mergeCell ref="K38:L38"/>
    <mergeCell ref="B60:L60"/>
    <mergeCell ref="B73:L73"/>
    <mergeCell ref="B61:L61"/>
    <mergeCell ref="G37:H37"/>
    <mergeCell ref="J11:L11"/>
    <mergeCell ref="B87:L87"/>
    <mergeCell ref="B70:L70"/>
    <mergeCell ref="B71:L71"/>
    <mergeCell ref="B72:L72"/>
    <mergeCell ref="B63:L63"/>
    <mergeCell ref="B64:L64"/>
    <mergeCell ref="B65:L65"/>
    <mergeCell ref="B66:L66"/>
    <mergeCell ref="B67:L67"/>
    <mergeCell ref="B68:L68"/>
    <mergeCell ref="B69:L69"/>
    <mergeCell ref="B74:L74"/>
    <mergeCell ref="B75:L75"/>
    <mergeCell ref="B76:L76"/>
    <mergeCell ref="B86:L86"/>
    <mergeCell ref="B85:L85"/>
    <mergeCell ref="B84:L84"/>
    <mergeCell ref="B79:L79"/>
    <mergeCell ref="B80:L80"/>
    <mergeCell ref="B81:L81"/>
    <mergeCell ref="B82:L82"/>
    <mergeCell ref="B83:L83"/>
    <mergeCell ref="B53:C57"/>
    <mergeCell ref="B19:F19"/>
    <mergeCell ref="C35:E35"/>
    <mergeCell ref="B58:L58"/>
    <mergeCell ref="B49:L49"/>
    <mergeCell ref="G38:H38"/>
    <mergeCell ref="K37:L37"/>
    <mergeCell ref="C37:E37"/>
    <mergeCell ref="B27:I27"/>
    <mergeCell ref="B23:I23"/>
    <mergeCell ref="B20:I20"/>
    <mergeCell ref="B21:I21"/>
    <mergeCell ref="B22:I22"/>
    <mergeCell ref="D54:J54"/>
    <mergeCell ref="B31:J31"/>
    <mergeCell ref="B26:I26"/>
    <mergeCell ref="B12:L12"/>
    <mergeCell ref="B13:J13"/>
    <mergeCell ref="B14:J14"/>
    <mergeCell ref="B16:J16"/>
    <mergeCell ref="B15:J15"/>
    <mergeCell ref="C89:I98"/>
    <mergeCell ref="A1:L1"/>
    <mergeCell ref="E2:L2"/>
    <mergeCell ref="D55:I55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50:L50"/>
    <mergeCell ref="B48:L48"/>
    <mergeCell ref="F11:G11"/>
    <mergeCell ref="K54:M54"/>
    <mergeCell ref="E53:M53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B47:E47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47"/>
  <sheetViews>
    <sheetView tabSelected="0" workbookViewId="0" showGridLines="true" showRowColHeaders="1">
      <selection activeCell="N44" sqref="N44"/>
    </sheetView>
  </sheetViews>
  <sheetFormatPr defaultRowHeight="14.4" outlineLevelRow="0" outlineLevelCol="0"/>
  <cols>
    <col min="2" max="2" width="24.708252" bestFit="true" customWidth="true" style="0"/>
    <col min="3" max="3" width="52.987061" bestFit="true" customWidth="true" style="0"/>
    <col min="4" max="4" width="49.416504" bestFit="true" customWidth="true" style="0"/>
    <col min="5" max="5" width="34.134521" bestFit="true" customWidth="true" style="0"/>
    <col min="6" max="6" width="39.990234" bestFit="true" customWidth="true" style="0"/>
    <col min="7" max="7" width="34.134521" bestFit="true" customWidth="true" style="0"/>
    <col min="8" max="8" width="38.847656" bestFit="true" customWidth="true" style="0"/>
    <col min="9" max="9" width="39.990234" bestFit="true" customWidth="true" style="0"/>
    <col min="10" max="10" width="39.990234" bestFit="true" customWidth="true" style="0"/>
    <col min="11" max="11" width="25.85083" bestFit="true" customWidth="true" style="0"/>
    <col min="12" max="12" width="31.706543" bestFit="true" customWidth="true" style="0"/>
    <col min="13" max="13" width="25.85083" bestFit="true" customWidth="true" style="0"/>
    <col min="14" max="14" width="12.854004" bestFit="true" customWidth="true" style="0"/>
  </cols>
  <sheetData>
    <row r="3" spans="1:18">
      <c r="B3" s="75" t="s">
        <v>94</v>
      </c>
      <c r="C3" s="74"/>
      <c r="D3" s="74"/>
      <c r="E3" s="74"/>
      <c r="F3" s="74"/>
      <c r="G3" s="74"/>
    </row>
    <row r="5" spans="1:18">
      <c r="B5" s="78" t="s">
        <v>95</v>
      </c>
      <c r="C5" s="80" t="s">
        <v>49</v>
      </c>
      <c r="D5" s="80" t="s">
        <v>50</v>
      </c>
      <c r="E5" s="80" t="s">
        <v>51</v>
      </c>
      <c r="F5" s="80" t="s">
        <v>52</v>
      </c>
      <c r="G5" s="80" t="s">
        <v>53</v>
      </c>
      <c r="H5" s="80" t="s">
        <v>54</v>
      </c>
      <c r="I5" s="80" t="s">
        <v>55</v>
      </c>
      <c r="J5" s="80" t="s">
        <v>56</v>
      </c>
      <c r="K5" s="80" t="s">
        <v>57</v>
      </c>
      <c r="L5" s="80" t="s">
        <v>58</v>
      </c>
      <c r="M5" s="80" t="s">
        <v>59</v>
      </c>
      <c r="N5" s="80" t="s">
        <v>96</v>
      </c>
    </row>
    <row r="6" spans="1:18">
      <c r="B6" s="74" t="s">
        <v>97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82">
        <v>0</v>
      </c>
      <c r="Q6" s="76" t="s">
        <v>98</v>
      </c>
      <c r="R6" s="76" t="s">
        <v>99</v>
      </c>
    </row>
    <row r="7" spans="1:18">
      <c r="B7" s="74" t="s">
        <v>100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83"/>
      <c r="Q7" s="77" t="s">
        <v>18</v>
      </c>
      <c r="R7" s="77"/>
    </row>
    <row r="8" spans="1:18">
      <c r="B8" s="74" t="s">
        <v>101</v>
      </c>
      <c r="C8" s="81">
        <v>3.5</v>
      </c>
      <c r="D8" s="81">
        <v>13.6</v>
      </c>
      <c r="E8" s="81">
        <v>3</v>
      </c>
      <c r="F8" s="81">
        <v>0.4</v>
      </c>
      <c r="G8" s="81">
        <v>4</v>
      </c>
      <c r="H8" s="81">
        <v>5</v>
      </c>
      <c r="I8" s="81">
        <v>4.5</v>
      </c>
      <c r="J8" s="81">
        <v>1</v>
      </c>
      <c r="K8" s="81">
        <v>3.5</v>
      </c>
      <c r="L8" s="81">
        <v>19.076923076923</v>
      </c>
      <c r="M8" s="81">
        <v>3.4</v>
      </c>
      <c r="N8" s="74"/>
    </row>
    <row r="9" spans="1:18">
      <c r="B9" s="79" t="s">
        <v>102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74"/>
    </row>
    <row r="10" spans="1:18">
      <c r="B10" s="74" t="s">
        <v>103</v>
      </c>
      <c r="C10" s="74">
        <v>20</v>
      </c>
      <c r="D10" s="74">
        <v>30</v>
      </c>
      <c r="E10" s="74">
        <v>50</v>
      </c>
      <c r="F10" s="74">
        <v>100</v>
      </c>
      <c r="G10" s="74">
        <v>10</v>
      </c>
      <c r="H10" s="74">
        <v>5</v>
      </c>
      <c r="I10" s="74">
        <v>10</v>
      </c>
      <c r="J10" s="74">
        <v>12</v>
      </c>
      <c r="K10" s="74">
        <v>20</v>
      </c>
      <c r="L10" s="74">
        <v>13</v>
      </c>
      <c r="M10" s="74">
        <v>120</v>
      </c>
      <c r="N10" s="74" t="str">
        <f>SUM(C10:M10)</f>
        <v>0</v>
      </c>
    </row>
    <row r="11" spans="1:18">
      <c r="B11" s="74" t="s">
        <v>104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1" t="str">
        <f>J8*J10</f>
        <v>0</v>
      </c>
      <c r="K11" s="81" t="str">
        <f>K8*K10</f>
        <v>0</v>
      </c>
      <c r="L11" s="81" t="str">
        <f>L8*L10</f>
        <v>0</v>
      </c>
      <c r="M11" s="81" t="str">
        <f>M8*M10</f>
        <v>0</v>
      </c>
      <c r="N11" s="86" t="str">
        <f>SUM(C11:M11)</f>
        <v>0</v>
      </c>
    </row>
    <row r="12" spans="1:18">
      <c r="B12" s="79" t="s">
        <v>105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1" t="str">
        <f>J10*J9</f>
        <v>0</v>
      </c>
      <c r="K12" s="81" t="str">
        <f>K10*K9</f>
        <v>0</v>
      </c>
      <c r="L12" s="81" t="str">
        <f>L10*L9</f>
        <v>0</v>
      </c>
      <c r="M12" s="81" t="str">
        <f>M10*M9</f>
        <v>0</v>
      </c>
      <c r="N12" s="86" t="str">
        <f>SUM(C12:M12)</f>
        <v>0</v>
      </c>
    </row>
    <row r="13" spans="1:18">
      <c r="B13" s="74" t="s">
        <v>106</v>
      </c>
      <c r="C13" s="84" t="str">
        <f>C11/N11</f>
        <v>0</v>
      </c>
      <c r="D13" s="84" t="str">
        <f>D11/N11</f>
        <v>0</v>
      </c>
      <c r="E13" s="84" t="str">
        <f>E11/N11</f>
        <v>0</v>
      </c>
      <c r="F13" s="84" t="str">
        <f>F11/N11</f>
        <v>0</v>
      </c>
      <c r="G13" s="84" t="str">
        <f>G11/N11</f>
        <v>0</v>
      </c>
      <c r="H13" s="84" t="str">
        <f>H11/N11</f>
        <v>0</v>
      </c>
      <c r="I13" s="84" t="str">
        <f>I11/N11</f>
        <v>0</v>
      </c>
      <c r="J13" s="84" t="str">
        <f>J11/N11</f>
        <v>0</v>
      </c>
      <c r="K13" s="84" t="str">
        <f>K11/N11</f>
        <v>0</v>
      </c>
      <c r="L13" s="84" t="str">
        <f>L11/N11</f>
        <v>0</v>
      </c>
      <c r="M13" s="84" t="str">
        <f>M11/N11</f>
        <v>0</v>
      </c>
      <c r="N13" s="74"/>
    </row>
    <row r="14" spans="1:18">
      <c r="B14" s="74" t="s">
        <v>107</v>
      </c>
      <c r="C14" s="81" t="str">
        <f>ROUNDUP(N14*C13,2)</f>
        <v>0</v>
      </c>
      <c r="D14" s="81" t="str">
        <f>ROUNDUP(N14*D13,2)</f>
        <v>0</v>
      </c>
      <c r="E14" s="81" t="str">
        <f>ROUNDUP(N14*E13,2)</f>
        <v>0</v>
      </c>
      <c r="F14" s="81" t="str">
        <f>ROUNDUP(N14*F13,2)</f>
        <v>0</v>
      </c>
      <c r="G14" s="81" t="str">
        <f>ROUNDUP(N14*G13,2)</f>
        <v>0</v>
      </c>
      <c r="H14" s="81" t="str">
        <f>ROUNDUP(N14*H13,2)</f>
        <v>0</v>
      </c>
      <c r="I14" s="81" t="str">
        <f>ROUNDUP(N14*I13,2)</f>
        <v>0</v>
      </c>
      <c r="J14" s="81" t="str">
        <f>ROUNDUP(N14*J13,2)</f>
        <v>0</v>
      </c>
      <c r="K14" s="81" t="str">
        <f>ROUNDUP(N14*K13,2)</f>
        <v>0</v>
      </c>
      <c r="L14" s="81" t="str">
        <f>ROUNDUP(N14*L13,2)</f>
        <v>0</v>
      </c>
      <c r="M14" s="81" t="str">
        <f>ROUNDUP(N14*M13,2)</f>
        <v>0</v>
      </c>
      <c r="N14" s="86" t="str">
        <f>IF(N7&lt;1, ROUNDUP(R7*0.6, 0), ROUNDUP(R7*0.6*N7, 0))</f>
        <v>0</v>
      </c>
    </row>
    <row r="15" spans="1:18">
      <c r="B15" s="74" t="s">
        <v>108</v>
      </c>
      <c r="C15" s="81" t="str">
        <f>ROUNDUP(C11+C14,2)</f>
        <v>0</v>
      </c>
      <c r="D15" s="81" t="str">
        <f>ROUNDUP(D11+D14,2)</f>
        <v>0</v>
      </c>
      <c r="E15" s="81" t="str">
        <f>ROUNDUP(E11+E14,2)</f>
        <v>0</v>
      </c>
      <c r="F15" s="81" t="str">
        <f>ROUNDUP(F11+F14,2)</f>
        <v>0</v>
      </c>
      <c r="G15" s="81" t="str">
        <f>ROUNDUP(G11+G14,2)</f>
        <v>0</v>
      </c>
      <c r="H15" s="81" t="str">
        <f>ROUNDUP(H11+H14,2)</f>
        <v>0</v>
      </c>
      <c r="I15" s="81" t="str">
        <f>ROUNDUP(I11+I14,2)</f>
        <v>0</v>
      </c>
      <c r="J15" s="81" t="str">
        <f>ROUNDUP(J11+J14,2)</f>
        <v>0</v>
      </c>
      <c r="K15" s="81" t="str">
        <f>ROUNDUP(K11+K14,2)</f>
        <v>0</v>
      </c>
      <c r="L15" s="81" t="str">
        <f>ROUNDUP(L11+L14,2)</f>
        <v>0</v>
      </c>
      <c r="M15" s="81" t="str">
        <f>ROUNDUP(M11+M14,2)</f>
        <v>0</v>
      </c>
      <c r="N15" s="86" t="str">
        <f>SUM(C15:M15)</f>
        <v>0</v>
      </c>
    </row>
    <row r="16" spans="1:18">
      <c r="B16" s="79" t="s">
        <v>109</v>
      </c>
      <c r="C16" s="81" t="str">
        <f>ROUNDUP(C12+C14,2)</f>
        <v>0</v>
      </c>
      <c r="D16" s="81" t="str">
        <f>ROUNDUP(D12+D14,2)</f>
        <v>0</v>
      </c>
      <c r="E16" s="81" t="str">
        <f>ROUNDUP(E12+E14,2)</f>
        <v>0</v>
      </c>
      <c r="F16" s="81" t="str">
        <f>ROUNDUP(F12+F14,2)</f>
        <v>0</v>
      </c>
      <c r="G16" s="81" t="str">
        <f>ROUNDUP(G12+G14,2)</f>
        <v>0</v>
      </c>
      <c r="H16" s="81" t="str">
        <f>ROUNDUP(H12+H14,2)</f>
        <v>0</v>
      </c>
      <c r="I16" s="81" t="str">
        <f>ROUNDUP(I12+I14,2)</f>
        <v>0</v>
      </c>
      <c r="J16" s="81" t="str">
        <f>ROUNDUP(J12+J14,2)</f>
        <v>0</v>
      </c>
      <c r="K16" s="81" t="str">
        <f>ROUNDUP(K12+K14,2)</f>
        <v>0</v>
      </c>
      <c r="L16" s="81" t="str">
        <f>ROUNDUP(L12+L14,2)</f>
        <v>0</v>
      </c>
      <c r="M16" s="81" t="str">
        <f>ROUNDUP(M12+M14,2)</f>
        <v>0</v>
      </c>
      <c r="N16" s="86" t="str">
        <f>SUM(C16:M16)</f>
        <v>0</v>
      </c>
    </row>
    <row r="17" spans="1:18">
      <c r="B17" s="74" t="s">
        <v>110</v>
      </c>
      <c r="C17" s="81" t="str">
        <f>IF(N15&gt;5000,ROUND(100*C13,2),ROUND(50*C13,2))</f>
        <v>0</v>
      </c>
      <c r="D17" s="81" t="str">
        <f>IF(N15&gt;5000,ROUND(100*D13,2),ROUND(50*D13,2))</f>
        <v>0</v>
      </c>
      <c r="E17" s="81" t="str">
        <f>IF(N15&gt;5000,ROUND(100*E13,2),ROUND(50*E13,2))</f>
        <v>0</v>
      </c>
      <c r="F17" s="81" t="str">
        <f>IF(N15&gt;5000,ROUND(100*F13,2),ROUND(50*F13,2))</f>
        <v>0</v>
      </c>
      <c r="G17" s="81" t="str">
        <f>IF(N15&gt;5000,ROUND(100*G13,2),ROUND(50*G13,2))</f>
        <v>0</v>
      </c>
      <c r="H17" s="81" t="str">
        <f>IF(N15&gt;5000,ROUND(100*H13,2),ROUND(50*H13,2))</f>
        <v>0</v>
      </c>
      <c r="I17" s="81" t="str">
        <f>IF(N15&gt;5000,ROUND(100*I13,2),ROUND(50*I13,2))</f>
        <v>0</v>
      </c>
      <c r="J17" s="81" t="str">
        <f>IF(N15&gt;5000,ROUND(100*J13,2),ROUND(50*J13,2))</f>
        <v>0</v>
      </c>
      <c r="K17" s="81" t="str">
        <f>IF(N15&gt;5000,ROUND(100*K13,2),ROUND(50*K13,2))</f>
        <v>0</v>
      </c>
      <c r="L17" s="81" t="str">
        <f>IF(N15&gt;5000,ROUND(100*L13,2),ROUND(50*L13,2))</f>
        <v>0</v>
      </c>
      <c r="M17" s="81" t="str">
        <f>IF(N15&gt;5000,ROUND(100*M13,2),ROUND(50*M13,2))</f>
        <v>0</v>
      </c>
      <c r="N17" s="86" t="str">
        <f>SUM(C17:M17)</f>
        <v>0</v>
      </c>
    </row>
    <row r="18" spans="1:18">
      <c r="B18" s="74" t="s">
        <v>111</v>
      </c>
      <c r="C18" s="81" t="str">
        <f>ROUNDUP(C15+C17,2)</f>
        <v>0</v>
      </c>
      <c r="D18" s="81" t="str">
        <f>ROUNDUP(D15+D17,2)</f>
        <v>0</v>
      </c>
      <c r="E18" s="81" t="str">
        <f>ROUNDUP(E15+E17,2)</f>
        <v>0</v>
      </c>
      <c r="F18" s="81" t="str">
        <f>ROUNDUP(F15+F17,2)</f>
        <v>0</v>
      </c>
      <c r="G18" s="81" t="str">
        <f>ROUNDUP(G15+G17,2)</f>
        <v>0</v>
      </c>
      <c r="H18" s="81" t="str">
        <f>ROUNDUP(H15+H17,2)</f>
        <v>0</v>
      </c>
      <c r="I18" s="81" t="str">
        <f>ROUNDUP(I15+I17,2)</f>
        <v>0</v>
      </c>
      <c r="J18" s="81" t="str">
        <f>ROUNDUP(J15+J17,2)</f>
        <v>0</v>
      </c>
      <c r="K18" s="81" t="str">
        <f>ROUNDUP(K15+K17,2)</f>
        <v>0</v>
      </c>
      <c r="L18" s="81" t="str">
        <f>ROUNDUP(L15+L17,2)</f>
        <v>0</v>
      </c>
      <c r="M18" s="81" t="str">
        <f>ROUNDUP(M15+M17,2)</f>
        <v>0</v>
      </c>
      <c r="N18" s="86" t="str">
        <f>SUM(C18:M18)</f>
        <v>0</v>
      </c>
    </row>
    <row r="19" spans="1:18">
      <c r="B19" s="79" t="s">
        <v>112</v>
      </c>
      <c r="C19" s="81" t="str">
        <f>ROUNDUP(C16+C17,2)</f>
        <v>0</v>
      </c>
      <c r="D19" s="81" t="str">
        <f>ROUNDUP(D16+D17,2)</f>
        <v>0</v>
      </c>
      <c r="E19" s="81" t="str">
        <f>ROUNDUP(E16+E17,2)</f>
        <v>0</v>
      </c>
      <c r="F19" s="81" t="str">
        <f>ROUNDUP(F16+F17,2)</f>
        <v>0</v>
      </c>
      <c r="G19" s="81" t="str">
        <f>ROUNDUP(G16+G17,2)</f>
        <v>0</v>
      </c>
      <c r="H19" s="81" t="str">
        <f>ROUNDUP(H16+H17,2)</f>
        <v>0</v>
      </c>
      <c r="I19" s="81" t="str">
        <f>ROUNDUP(I16+I17,2)</f>
        <v>0</v>
      </c>
      <c r="J19" s="81" t="str">
        <f>ROUNDUP(J16+J17,2)</f>
        <v>0</v>
      </c>
      <c r="K19" s="81" t="str">
        <f>ROUNDUP(K16+K17,2)</f>
        <v>0</v>
      </c>
      <c r="L19" s="81" t="str">
        <f>ROUNDUP(L16+L17,2)</f>
        <v>0</v>
      </c>
      <c r="M19" s="81" t="str">
        <f>ROUNDUP(M16+M17,2)</f>
        <v>0</v>
      </c>
      <c r="N19" s="86" t="str">
        <f>SUM(C19:M19)</f>
        <v>0</v>
      </c>
    </row>
    <row r="23" spans="1:18">
      <c r="B23" s="75" t="s">
        <v>113</v>
      </c>
      <c r="C23" s="74"/>
      <c r="D23" s="74"/>
      <c r="E23" s="74"/>
    </row>
    <row r="26" spans="1:18">
      <c r="B26" s="74" t="s">
        <v>114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 t="str">
        <f>SUM(C26:M26)</f>
        <v>0</v>
      </c>
    </row>
    <row r="27" spans="1:18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4" t="str">
        <f>SUM(C27:M27)</f>
        <v>0</v>
      </c>
    </row>
    <row r="28" spans="1:18">
      <c r="B28" s="74" t="s">
        <v>115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MAX(J19,J18)*J27</f>
        <v>0</v>
      </c>
      <c r="K28" s="81" t="str">
        <f>MAX(K19,K18)*K27</f>
        <v>0</v>
      </c>
      <c r="L28" s="81" t="str">
        <f>MAX(L19,L18)*L27</f>
        <v>0</v>
      </c>
      <c r="M28" s="81" t="str">
        <f>MAX(M19,M18)*M27</f>
        <v>0</v>
      </c>
      <c r="N28" s="81" t="str">
        <f>SUM(C28:M28)</f>
        <v>0</v>
      </c>
    </row>
    <row r="29" spans="1:18">
      <c r="B29" s="74" t="s">
        <v>31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0.16*(MAX(J19,J18)+J28)</f>
        <v>0</v>
      </c>
      <c r="K29" s="81" t="str">
        <f>0.16*(MAX(K19,K18)+K28)</f>
        <v>0</v>
      </c>
      <c r="L29" s="81" t="str">
        <f>0.16*(MAX(L19,L18)+L28)</f>
        <v>0</v>
      </c>
      <c r="M29" s="81" t="str">
        <f>0.16*(MAX(M19,M18)+M28)</f>
        <v>0</v>
      </c>
      <c r="N29" s="81" t="str">
        <f>SUM(C29:M29)</f>
        <v>0</v>
      </c>
    </row>
    <row r="30" spans="1:18">
      <c r="B30" s="74" t="s">
        <v>32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0.02*(MAX(J19,J18)+J28)</f>
        <v>0</v>
      </c>
      <c r="K30" s="81" t="str">
        <f>0.02*(MAX(K19,K18)+K28)</f>
        <v>0</v>
      </c>
      <c r="L30" s="81" t="str">
        <f>0.02*(MAX(L19,L18)+L28)</f>
        <v>0</v>
      </c>
      <c r="M30" s="81" t="str">
        <f>0.02*(MAX(M19,M18)+M28)</f>
        <v>0</v>
      </c>
      <c r="N30" s="81" t="str">
        <f>SUM(C30:M30)</f>
        <v>0</v>
      </c>
    </row>
    <row r="31" spans="1:18">
      <c r="B31" s="74" t="s">
        <v>116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0.035*(MAX(J18,J19) +J28+J29+J30)</f>
        <v>0</v>
      </c>
      <c r="K31" s="81" t="str">
        <f>0.035*(MAX(K18,K19) +K28+K29+K30)</f>
        <v>0</v>
      </c>
      <c r="L31" s="81" t="str">
        <f>0.035*(MAX(L18,L19) +L28+L29+L30)</f>
        <v>0</v>
      </c>
      <c r="M31" s="81" t="str">
        <f>0.035*(MAX(M18,M19) +M28+M29+M30)</f>
        <v>0</v>
      </c>
      <c r="N31" s="81" t="str">
        <f>SUM(C31:M31)</f>
        <v>0</v>
      </c>
    </row>
    <row r="32" spans="1:18">
      <c r="B32" s="74" t="s">
        <v>36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  <c r="K32" s="81" t="str">
        <f>SUM(K28:K31)</f>
        <v>0</v>
      </c>
      <c r="L32" s="81" t="str">
        <f>SUM(L28:L31)</f>
        <v>0</v>
      </c>
      <c r="M32" s="81" t="str">
        <f>SUM(M28:M31)</f>
        <v>0</v>
      </c>
      <c r="N32" s="81" t="str">
        <f>SUM(N28:N31)</f>
        <v>0</v>
      </c>
    </row>
    <row r="37" spans="1:18">
      <c r="B37" s="75" t="s">
        <v>117</v>
      </c>
      <c r="C37" s="74"/>
      <c r="D37" s="74"/>
      <c r="E37" s="74"/>
    </row>
    <row r="40" spans="1:18">
      <c r="B40" s="74" t="s">
        <v>118</v>
      </c>
      <c r="C40" s="81" t="str">
        <f>C13*N40</f>
        <v>0</v>
      </c>
      <c r="D40" s="81" t="str">
        <f>D13*N40</f>
        <v>0</v>
      </c>
      <c r="E40" s="81" t="str">
        <f>E13*N40</f>
        <v>0</v>
      </c>
      <c r="F40" s="81" t="str">
        <f>F13*N40</f>
        <v>0</v>
      </c>
      <c r="G40" s="81" t="str">
        <f>G13*N40</f>
        <v>0</v>
      </c>
      <c r="H40" s="81" t="str">
        <f>H13*N40</f>
        <v>0</v>
      </c>
      <c r="I40" s="81" t="str">
        <f>I13*N40</f>
        <v>0</v>
      </c>
      <c r="J40" s="81" t="str">
        <f>J13*N40</f>
        <v>0</v>
      </c>
      <c r="K40" s="81" t="str">
        <f>K13*N40</f>
        <v>0</v>
      </c>
      <c r="L40" s="81" t="str">
        <f>L13*N40</f>
        <v>0</v>
      </c>
      <c r="M40" s="81" t="str">
        <f>M13*N40</f>
        <v>0</v>
      </c>
      <c r="N40" s="81" t="str">
        <f>IF(N7&lt;1, ROUNDUP(R7*0.4, 0), ROUNDUP(R7*0.4*N7, 0))</f>
        <v>0</v>
      </c>
    </row>
    <row r="41" spans="1:18">
      <c r="B41"/>
    </row>
    <row r="43" spans="1:18">
      <c r="B43" s="74" t="s">
        <v>118</v>
      </c>
      <c r="C43" s="74" t="s">
        <v>49</v>
      </c>
      <c r="D43" s="74" t="s">
        <v>50</v>
      </c>
      <c r="E43" s="74" t="s">
        <v>51</v>
      </c>
      <c r="F43" s="74" t="s">
        <v>52</v>
      </c>
      <c r="G43" s="74" t="s">
        <v>53</v>
      </c>
      <c r="H43" s="74" t="s">
        <v>54</v>
      </c>
      <c r="I43" s="74" t="s">
        <v>55</v>
      </c>
      <c r="J43" s="74" t="s">
        <v>56</v>
      </c>
      <c r="K43" s="74" t="s">
        <v>57</v>
      </c>
      <c r="L43" s="74" t="s">
        <v>58</v>
      </c>
      <c r="M43" s="74" t="s">
        <v>59</v>
      </c>
      <c r="N43" s="74" t="s">
        <v>96</v>
      </c>
    </row>
    <row r="44" spans="1:18">
      <c r="B44" s="74" t="s">
        <v>119</v>
      </c>
      <c r="C44" s="81" t="str">
        <f>SUM(C15,C40,C32,(C26*C10))</f>
        <v>0</v>
      </c>
      <c r="D44" s="81" t="str">
        <f>SUM(D15,D40,D32,(D26*D10))</f>
        <v>0</v>
      </c>
      <c r="E44" s="81" t="str">
        <f>SUM(E15,E40,E32,(E26*E10))</f>
        <v>0</v>
      </c>
      <c r="F44" s="81" t="str">
        <f>SUM(F15,F40,F32,(F26*F10))</f>
        <v>0</v>
      </c>
      <c r="G44" s="81" t="str">
        <f>SUM(G15,G40,G32,(G26*G10))</f>
        <v>0</v>
      </c>
      <c r="H44" s="81" t="str">
        <f>SUM(H15,H40,H32,(H26*H10))</f>
        <v>0</v>
      </c>
      <c r="I44" s="81" t="str">
        <f>SUM(I15,I40,I32,(I26*I10))</f>
        <v>0</v>
      </c>
      <c r="J44" s="81" t="str">
        <f>SUM(J15,J40,J32,(J26*J10))</f>
        <v>0</v>
      </c>
      <c r="K44" s="81" t="str">
        <f>SUM(K15,K40,K32,(K26*K10))</f>
        <v>0</v>
      </c>
      <c r="L44" s="81" t="str">
        <f>SUM(L15,L40,L32,(L26*L10))</f>
        <v>0</v>
      </c>
      <c r="M44" s="81" t="str">
        <f>SUM(M15,M40,M32,(M26*M10))</f>
        <v>0</v>
      </c>
      <c r="N44" s="81" t="str">
        <f>SUM(C44:M44)</f>
        <v>0</v>
      </c>
    </row>
    <row r="45" spans="1:18">
      <c r="B45" s="74" t="s">
        <v>45</v>
      </c>
      <c r="C45" s="74">
        <v>20</v>
      </c>
      <c r="D45" s="74">
        <v>30</v>
      </c>
      <c r="E45" s="74">
        <v>50</v>
      </c>
      <c r="F45" s="74">
        <v>100</v>
      </c>
      <c r="G45" s="74">
        <v>10</v>
      </c>
      <c r="H45" s="74">
        <v>5</v>
      </c>
      <c r="I45" s="74">
        <v>10</v>
      </c>
      <c r="J45" s="74">
        <v>12</v>
      </c>
      <c r="K45" s="74">
        <v>20</v>
      </c>
      <c r="L45" s="74">
        <v>13</v>
      </c>
      <c r="M45" s="74">
        <v>120</v>
      </c>
      <c r="N45" s="74"/>
    </row>
    <row r="46" spans="1:18">
      <c r="B46" s="74" t="s">
        <v>120</v>
      </c>
      <c r="C46" s="81" t="str">
        <f>ROUND(SUM(C44/C45),2)</f>
        <v>0</v>
      </c>
      <c r="D46" s="81" t="str">
        <f>ROUND(SUM(D44/D45),2)</f>
        <v>0</v>
      </c>
      <c r="E46" s="81" t="str">
        <f>ROUND(SUM(E44/E45),2)</f>
        <v>0</v>
      </c>
      <c r="F46" s="81" t="str">
        <f>ROUND(SUM(F44/F45),2)</f>
        <v>0</v>
      </c>
      <c r="G46" s="81" t="str">
        <f>ROUND(SUM(G44/G45),2)</f>
        <v>0</v>
      </c>
      <c r="H46" s="81" t="str">
        <f>ROUND(SUM(H44/H45),2)</f>
        <v>0</v>
      </c>
      <c r="I46" s="81" t="str">
        <f>ROUND(SUM(I44/I45),2)</f>
        <v>0</v>
      </c>
      <c r="J46" s="81" t="str">
        <f>ROUND(SUM(J44/J45),2)</f>
        <v>0</v>
      </c>
      <c r="K46" s="81" t="str">
        <f>ROUND(SUM(K44/K45),2)</f>
        <v>0</v>
      </c>
      <c r="L46" s="81" t="str">
        <f>ROUND(SUM(L44/L45),2)</f>
        <v>0</v>
      </c>
      <c r="M46" s="81" t="str">
        <f>ROUND(SUM(M44/M45),2)</f>
        <v>0</v>
      </c>
      <c r="N46" s="74"/>
    </row>
    <row r="47" spans="1:18">
      <c r="B47" s="74" t="s">
        <v>121</v>
      </c>
      <c r="C47" s="85" t="str">
        <f>ROUND(C46*3.7,2)</f>
        <v>0</v>
      </c>
      <c r="D47" s="85" t="str">
        <f>ROUND(D46*3.7,2)</f>
        <v>0</v>
      </c>
      <c r="E47" s="85" t="str">
        <f>ROUND(E46*3.7,2)</f>
        <v>0</v>
      </c>
      <c r="F47" s="85" t="str">
        <f>ROUND(F46*3.7,2)</f>
        <v>0</v>
      </c>
      <c r="G47" s="85" t="str">
        <f>ROUND(G46*3.7,2)</f>
        <v>0</v>
      </c>
      <c r="H47" s="85" t="str">
        <f>ROUND(H46*3.7,2)</f>
        <v>0</v>
      </c>
      <c r="I47" s="85" t="str">
        <f>ROUND(I46*3.7,2)</f>
        <v>0</v>
      </c>
      <c r="J47" s="85" t="str">
        <f>ROUND(J46*3.7,2)</f>
        <v>0</v>
      </c>
      <c r="K47" s="85" t="str">
        <f>ROUND(K46*3.7,2)</f>
        <v>0</v>
      </c>
      <c r="L47" s="85" t="str">
        <f>ROUND(L46*3.7,2)</f>
        <v>0</v>
      </c>
      <c r="M47" s="85" t="str">
        <f>ROUND(M46*3.7,2)</f>
        <v>0</v>
      </c>
      <c r="N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