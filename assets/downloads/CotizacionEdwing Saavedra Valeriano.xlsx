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'1'!$A$1:$M$121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<sst xmlns="http://schemas.openxmlformats.org/spreadsheetml/2006/main" uniqueCount="136">
  <si>
    <t>PRO MUNDO COMEX S.A.C.</t>
  </si>
  <si>
    <t xml:space="preserve">         RUC: 20612452432</t>
  </si>
  <si>
    <t>COTIZACION N002</t>
  </si>
  <si>
    <t>NOMBRE:</t>
  </si>
  <si>
    <t>Edwing Saavedra Valeriano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</si>
  <si>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</si>
  <si>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</si>
  <si>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</si>
  <si>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</si>
  <si>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</si>
  <si>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</si>
  <si>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</si>
  <si>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</si>
  <si>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NUEVO</t>
  </si>
  <si>
    <t>ORIGEN:</t>
  </si>
  <si>
    <t>CHINA</t>
  </si>
  <si>
    <t>MEDIDA:</t>
  </si>
  <si>
    <t>TELEFONO:</t>
  </si>
  <si>
    <t>CLIENTE: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</si>
  <si>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</si>
  <si>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</si>
  <si>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</si>
  <si>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</si>
  <si>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</si>
  <si>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</si>
  <si>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</si>
  <si>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</si>
  <si>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</si>
  <si>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</si>
  <si>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</si>
  <si>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Edwing Saavedra Valeriano 😁 un gusto saludarte!
        A continuación te envío la cotización final de tu importación📋📦.
        🙋‍♂️ PAGO PENDIENTE :
        ☑️Costo CBM: $1108.79604
        ☑️Impuestos: $3455.28
        ☑️ Total: $4564.07604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</si>
  <si>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</si>
  <si>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</si>
  <si>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</si>
  <si>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</si>
  <si>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</si>
  <si>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</si>
  <si>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</si>
  <si>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</si>
  <si>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</si>
  <si>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</si>
  <si>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</si>
  <si>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</si>
  <si>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</si>
  <si>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</si>
  <si>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</si>
  <si>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</si>
  <si>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</si>
  <si>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</si>
  <si>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FOCOS LED Y7D</t>
  </si>
  <si>
    <t>FOCOS LED SC7</t>
  </si>
  <si>
    <t>FOCOS LED Y8H4</t>
  </si>
  <si>
    <t>FOCOS LED V26(H4)</t>
  </si>
  <si>
    <t>FOCOS LED V68(H4)</t>
  </si>
  <si>
    <t>CARGADOR DE BATERÍAS DE CARROS</t>
  </si>
  <si>
    <t>GUANTES LARGOS TACTICOS</t>
  </si>
  <si>
    <t>GUANTES CORTOS TACTICOS</t>
  </si>
  <si>
    <t>MOCHILA TACTICA</t>
  </si>
  <si>
    <t>MOCHILA PARA SENDERISMO</t>
  </si>
  <si>
    <t>MOCHILA TACTICA MULTIBOLSILLOS</t>
  </si>
  <si>
    <t>MORRAL TÁCTICO</t>
  </si>
  <si>
    <t>CORREA TÁCTICA</t>
  </si>
  <si>
    <t>MASCARA TACTICA</t>
  </si>
  <si>
    <t>PACK RODILLERAS Y CODERAS TACTICAS</t>
  </si>
  <si>
    <t>PASAMONTAÑAS TACTICA</t>
  </si>
  <si>
    <t>CINTURON DE SEGURIDAD DE 3 PUNTOS</t>
  </si>
  <si>
    <t>CINTURÓN DE SEGURIDAD DE 2 PUNTOS RETRACTIL</t>
  </si>
  <si>
    <t>SOPORTE PARA BARRAS DE MOTOCICLETA</t>
  </si>
  <si>
    <t>SOPORTE PARA SLIDER DE MOTOCICLETA</t>
  </si>
  <si>
    <t>SOPORTE PARA ESPEJO DE MOTOCICLETA</t>
  </si>
  <si>
    <t>COMANDO CON LUZ LED PARA MOTOCICLETA</t>
  </si>
  <si>
    <t>PISCINA CON PROTECCION</t>
  </si>
  <si>
    <t>MALLA HEXAGONAL DE PROTECCIÓN</t>
  </si>
  <si>
    <t>SET DE PINES DE SEGURIDAD PARA PARLANTES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</si>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</sst>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  <numFmt numFmtId="174" formatCode="0 &quot;m3&quot;"/>
  </numFmts>
  <fonts count="2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4"/>
      <color rgb="FF000000"/>
      <name val="Calibri Light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0" numFmtId="167" fillId="3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9" numFmtId="0" fillId="6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1" numFmtId="0" fillId="4" borderId="10" applyFont="1" applyNumberFormat="0" applyFill="1" applyBorder="1" applyAlignment="1">
      <alignment horizontal="center" vertical="bottom" textRotation="0" wrapText="false" shrinkToFit="false"/>
    </xf>
    <xf xfId="0" fontId="11" numFmtId="0" fillId="4" borderId="6" applyFont="1" applyNumberFormat="0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3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3" numFmtId="0" fillId="4" borderId="0" applyFont="1" applyNumberFormat="0" applyFill="1" applyBorder="0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5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11" borderId="1" applyFont="1" applyNumberFormat="1" applyFill="1" applyBorder="1" applyAlignment="1">
      <alignment horizontal="center" vertical="bottom" textRotation="0" wrapText="false" shrinkToFit="false"/>
    </xf>
    <xf xfId="0" fontId="17" numFmtId="167" fillId="3" borderId="1" applyFont="1" applyNumberFormat="1" applyFill="1" applyBorder="1" applyAlignment="1">
      <alignment horizontal="left" vertical="bottom" textRotation="0" wrapText="false" shrinkToFit="false"/>
    </xf>
    <xf xfId="0" fontId="18" numFmtId="0" fillId="3" borderId="1" applyFont="1" applyNumberFormat="0" applyFill="1" applyBorder="1" applyAlignment="1">
      <alignment horizontal="center" vertical="bottom" textRotation="0" wrapText="false" shrinkToFit="false"/>
    </xf>
    <xf xfId="0" fontId="12" numFmtId="0" fillId="3" borderId="1" applyFont="1" applyNumberFormat="0" applyFill="1" applyBorder="1" applyAlignment="0">
      <alignment horizontal="general" vertical="bottom" textRotation="0" wrapText="false" shrinkToFit="false"/>
    </xf>
    <xf xfId="0" fontId="19" numFmtId="0" fillId="3" borderId="1" applyFont="1" applyNumberFormat="0" applyFill="1" applyBorder="1" applyAlignment="1">
      <alignment horizontal="center" vertical="bottom" textRotation="0" wrapText="false" shrinkToFit="false"/>
    </xf>
    <xf xfId="0" fontId="19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17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66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102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8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customHeight="1" ht="18">
      <c r="B2" s="38"/>
      <c r="C2" s="38"/>
      <c r="E2" s="43"/>
      <c r="F2" s="43"/>
      <c r="G2" s="43"/>
      <c r="H2" s="43"/>
      <c r="I2" s="43"/>
      <c r="J2" s="43"/>
      <c r="K2" s="43"/>
      <c r="L2" s="43"/>
    </row>
    <row r="3" spans="1:14" customHeight="1" ht="25.8">
      <c r="B3" s="38"/>
      <c r="C3" s="38"/>
      <c r="E3" s="54" t="s">
        <v>0</v>
      </c>
      <c r="F3" s="54"/>
      <c r="G3" s="54"/>
      <c r="H3" s="54"/>
      <c r="I3" s="54"/>
      <c r="J3" s="54"/>
    </row>
    <row r="4" spans="1:14" customHeight="1" ht="25.8">
      <c r="B4" s="38"/>
      <c r="C4" s="38"/>
      <c r="E4" s="55" t="s">
        <v>1</v>
      </c>
      <c r="F4" s="55"/>
      <c r="G4" s="55"/>
      <c r="H4" s="55"/>
      <c r="I4" s="55"/>
      <c r="J4" s="55"/>
      <c r="K4" s="13"/>
    </row>
    <row r="5" spans="1:14">
      <c r="B5" s="38"/>
      <c r="C5" s="38"/>
      <c r="D5" s="36"/>
    </row>
    <row r="6" spans="1:14">
      <c r="B6" s="38"/>
      <c r="C6" s="38"/>
      <c r="D6" s="25"/>
      <c r="F6" s="25"/>
      <c r="G6" s="25"/>
      <c r="H6" s="25"/>
    </row>
    <row r="7" spans="1:14">
      <c r="A7" s="38"/>
      <c r="B7" s="38"/>
      <c r="C7" s="38"/>
      <c r="E7" s="40" t="s">
        <v>2</v>
      </c>
      <c r="F7" s="40"/>
      <c r="G7" s="40"/>
      <c r="I7" s="38"/>
      <c r="J7" s="38"/>
      <c r="K7" s="38"/>
      <c r="L7" s="38"/>
    </row>
    <row r="8" spans="1:14">
      <c r="B8" s="8" t="s">
        <v>3</v>
      </c>
      <c r="C8" s="97" t="s">
        <v>4</v>
      </c>
      <c r="D8" s="34"/>
      <c r="E8" s="22" t="s">
        <v>5</v>
      </c>
      <c r="F8" s="45" t="s">
        <v>6</v>
      </c>
      <c r="G8" s="46"/>
      <c r="H8" s="33"/>
      <c r="I8" s="1" t="s">
        <v>7</v>
      </c>
      <c r="J8" s="62" t="str">
        <f>+'2'!F7</f>
        <v>0</v>
      </c>
      <c r="K8" s="62"/>
      <c r="L8" s="62"/>
    </row>
    <row r="9" spans="1:14">
      <c r="B9" s="8" t="s">
        <v>8</v>
      </c>
      <c r="C9" s="16"/>
      <c r="D9" s="34"/>
      <c r="E9" s="23" t="s">
        <v>9</v>
      </c>
      <c r="F9" s="41" t="str">
        <f>+TODAY()</f>
        <v>0</v>
      </c>
      <c r="G9" s="42"/>
      <c r="H9" s="33"/>
      <c r="I9" s="1" t="s">
        <v>10</v>
      </c>
      <c r="J9" s="96" t="s">
        <v>11</v>
      </c>
      <c r="K9" s="39"/>
      <c r="L9" s="39"/>
    </row>
    <row r="10" spans="1:14">
      <c r="B10" s="8" t="s">
        <v>12</v>
      </c>
      <c r="C10" s="16" t="s">
        <v>13</v>
      </c>
      <c r="D10" s="34"/>
      <c r="E10" s="27" t="s">
        <v>14</v>
      </c>
      <c r="F10" s="43" t="s">
        <v>15</v>
      </c>
      <c r="G10" s="44"/>
      <c r="H10" s="33"/>
      <c r="I10" s="1" t="s">
        <v>16</v>
      </c>
      <c r="J10" s="63"/>
      <c r="K10" s="96"/>
      <c r="L10" s="63"/>
    </row>
    <row r="11" spans="1:14">
      <c r="B11" s="8" t="s">
        <v>17</v>
      </c>
      <c r="C11" s="17">
        <v>25866466</v>
      </c>
      <c r="D11" s="35"/>
      <c r="E11" s="24" t="s">
        <v>18</v>
      </c>
      <c r="F11" s="48" t="s">
        <v>13</v>
      </c>
      <c r="G11" s="65"/>
      <c r="H11" s="33"/>
      <c r="I11" s="1" t="s">
        <v>19</v>
      </c>
      <c r="J11" s="95" t="str">
        <f>'2'!AB7</f>
        <v>0</v>
      </c>
      <c r="K11" s="73"/>
      <c r="L11" s="73"/>
    </row>
    <row r="12" spans="1:14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4">
      <c r="B13" s="66" t="s">
        <v>20</v>
      </c>
      <c r="C13" s="66"/>
      <c r="D13" s="66"/>
      <c r="E13" s="66"/>
      <c r="F13" s="66"/>
      <c r="G13" s="66"/>
      <c r="H13" s="66"/>
      <c r="I13" s="66"/>
      <c r="J13" s="66"/>
      <c r="K13" s="10" t="s">
        <v>21</v>
      </c>
      <c r="L13" s="10" t="s">
        <v>22</v>
      </c>
    </row>
    <row r="14" spans="1:14">
      <c r="B14" s="67" t="s">
        <v>23</v>
      </c>
      <c r="C14" s="67"/>
      <c r="D14" s="67"/>
      <c r="E14" s="67"/>
      <c r="F14" s="67"/>
      <c r="G14" s="67"/>
      <c r="H14" s="67"/>
      <c r="I14" s="67"/>
      <c r="J14" s="67"/>
      <c r="K14" s="14" t="str">
        <f>'2'!AB11</f>
        <v>0</v>
      </c>
      <c r="L14" s="9" t="s">
        <v>24</v>
      </c>
    </row>
    <row r="15" spans="1:14">
      <c r="B15" s="68" t="s">
        <v>25</v>
      </c>
      <c r="C15" s="68"/>
      <c r="D15" s="68"/>
      <c r="E15" s="68"/>
      <c r="F15" s="68"/>
      <c r="G15" s="68"/>
      <c r="H15" s="68"/>
      <c r="I15" s="68"/>
      <c r="J15" s="68"/>
      <c r="K15" s="15" t="str">
        <f>'2'!AB14 + '2'!AB17</f>
        <v>0</v>
      </c>
      <c r="L15" s="12" t="s">
        <v>24</v>
      </c>
    </row>
    <row r="16" spans="1:14">
      <c r="B16" s="51" t="s">
        <v>26</v>
      </c>
      <c r="C16" s="51"/>
      <c r="D16" s="51"/>
      <c r="E16" s="51"/>
      <c r="F16" s="51"/>
      <c r="G16" s="51"/>
      <c r="H16" s="51"/>
      <c r="I16" s="51"/>
      <c r="J16" s="51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69" t="s">
        <v>27</v>
      </c>
      <c r="C19" s="69"/>
      <c r="D19" s="69"/>
      <c r="E19" s="69"/>
      <c r="F19" s="69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49" t="s">
        <v>29</v>
      </c>
      <c r="C20" s="49"/>
      <c r="D20" s="49"/>
      <c r="E20" s="49"/>
      <c r="F20" s="49"/>
      <c r="G20" s="49"/>
      <c r="H20" s="49"/>
      <c r="I20" s="49"/>
      <c r="J20" s="20" t="str">
        <f>MAX('2'!C27:AA27)</f>
        <v>0</v>
      </c>
      <c r="K20" s="14" t="str">
        <f>'2'!AB28</f>
        <v>0</v>
      </c>
      <c r="L20" s="9" t="s">
        <v>24</v>
      </c>
      <c r="N20" t="s">
        <v>30</v>
      </c>
    </row>
    <row r="21" spans="1:14">
      <c r="B21" s="49" t="s">
        <v>31</v>
      </c>
      <c r="C21" s="49"/>
      <c r="D21" s="49"/>
      <c r="E21" s="49"/>
      <c r="F21" s="49"/>
      <c r="G21" s="49"/>
      <c r="H21" s="49"/>
      <c r="I21" s="49"/>
      <c r="J21" s="20">
        <v>0.16</v>
      </c>
      <c r="K21" s="14" t="str">
        <f>'2'!AB29</f>
        <v>0</v>
      </c>
      <c r="L21" s="9" t="s">
        <v>24</v>
      </c>
    </row>
    <row r="22" spans="1:14">
      <c r="B22" s="48" t="s">
        <v>32</v>
      </c>
      <c r="C22" s="48"/>
      <c r="D22" s="48"/>
      <c r="E22" s="48"/>
      <c r="F22" s="48"/>
      <c r="G22" s="48"/>
      <c r="H22" s="48"/>
      <c r="I22" s="48"/>
      <c r="J22" s="20">
        <v>0.02</v>
      </c>
      <c r="K22" s="14" t="str">
        <f>'2'!AB30</f>
        <v>0</v>
      </c>
      <c r="L22" s="9" t="s">
        <v>24</v>
      </c>
    </row>
    <row r="23" spans="1:14">
      <c r="B23" s="51" t="s">
        <v>33</v>
      </c>
      <c r="C23" s="51"/>
      <c r="D23" s="51"/>
      <c r="E23" s="51"/>
      <c r="F23" s="51"/>
      <c r="G23" s="51"/>
      <c r="H23" s="51"/>
      <c r="I23" s="51"/>
      <c r="J23" s="29"/>
      <c r="K23" s="30" t="str">
        <f>SUM(K20:K22)</f>
        <v>0</v>
      </c>
      <c r="L23" s="29" t="s">
        <v>24</v>
      </c>
    </row>
    <row r="24" spans="1:14">
      <c r="B24" s="49"/>
      <c r="C24" s="49"/>
      <c r="D24" s="49"/>
      <c r="E24" s="49"/>
      <c r="F24" s="49"/>
      <c r="G24" s="49"/>
      <c r="H24" s="49"/>
      <c r="I24" s="49"/>
      <c r="J24" s="2"/>
      <c r="K24" s="11"/>
      <c r="L24" s="9"/>
    </row>
    <row r="25" spans="1:14">
      <c r="B25" s="48" t="s">
        <v>34</v>
      </c>
      <c r="C25" s="48"/>
      <c r="D25" s="48"/>
      <c r="E25" s="48"/>
      <c r="F25" s="48"/>
      <c r="G25" s="48"/>
      <c r="H25" s="48"/>
      <c r="I25" s="48"/>
      <c r="J25" s="21" t="s">
        <v>35</v>
      </c>
      <c r="K25" s="15" t="str">
        <f>'2'!AB31</f>
        <v>0</v>
      </c>
      <c r="L25" s="12" t="s">
        <v>24</v>
      </c>
    </row>
    <row r="26" spans="1:14">
      <c r="B26" s="51" t="s">
        <v>36</v>
      </c>
      <c r="C26" s="51"/>
      <c r="D26" s="51"/>
      <c r="E26" s="51"/>
      <c r="F26" s="51"/>
      <c r="G26" s="51"/>
      <c r="H26" s="51"/>
      <c r="I26" s="51"/>
      <c r="K26" s="14" t="str">
        <f>K23+K25</f>
        <v>0</v>
      </c>
      <c r="L26" s="9" t="s">
        <v>24</v>
      </c>
    </row>
    <row r="27" spans="1:14">
      <c r="B27" s="43"/>
      <c r="C27" s="43"/>
      <c r="D27" s="43"/>
      <c r="E27" s="43"/>
      <c r="F27" s="43"/>
      <c r="G27" s="43"/>
      <c r="H27" s="43"/>
      <c r="I27" s="43"/>
    </row>
    <row r="28" spans="1:14" customHeight="1" ht="15.6">
      <c r="B28" s="52" t="s">
        <v>37</v>
      </c>
      <c r="C28" s="52"/>
      <c r="D28" s="52"/>
      <c r="E28" s="52"/>
      <c r="F28" s="52"/>
      <c r="G28" s="52"/>
      <c r="H28" s="52"/>
      <c r="I28" s="52"/>
      <c r="J28" s="52"/>
      <c r="K28" s="28" t="s">
        <v>21</v>
      </c>
      <c r="L28" s="28" t="s">
        <v>22</v>
      </c>
    </row>
    <row r="29" spans="1:14">
      <c r="B29" s="49" t="s">
        <v>38</v>
      </c>
      <c r="C29" s="49"/>
      <c r="D29" s="49"/>
      <c r="E29" s="49"/>
      <c r="F29" s="49"/>
      <c r="G29" s="49"/>
      <c r="H29" s="49"/>
      <c r="I29" s="49"/>
      <c r="J29" s="49"/>
      <c r="K29" s="14" t="str">
        <f>K14</f>
        <v>0</v>
      </c>
      <c r="L29" s="9" t="s">
        <v>24</v>
      </c>
    </row>
    <row r="30" spans="1:14">
      <c r="B30" s="49" t="s">
        <v>39</v>
      </c>
      <c r="C30" s="49"/>
      <c r="D30" s="49"/>
      <c r="E30" s="49"/>
      <c r="F30" s="49"/>
      <c r="G30" s="49"/>
      <c r="H30" s="49"/>
      <c r="I30" s="49"/>
      <c r="J30" s="49"/>
      <c r="K30" s="14" t="str">
        <f>IF('2'!AF7&lt;1, '2'!AF7*J11, '2'!AF7*J11)</f>
        <v>0</v>
      </c>
      <c r="L30" s="9" t="s">
        <v>24</v>
      </c>
    </row>
    <row r="31" spans="1:14">
      <c r="B31" s="48" t="s">
        <v>40</v>
      </c>
      <c r="C31" s="48"/>
      <c r="D31" s="48"/>
      <c r="E31" s="48"/>
      <c r="F31" s="48"/>
      <c r="G31" s="48"/>
      <c r="H31" s="48"/>
      <c r="I31" s="48"/>
      <c r="J31" s="48"/>
      <c r="K31" s="15" t="str">
        <f>K26</f>
        <v>0</v>
      </c>
      <c r="L31" s="12" t="s">
        <v>24</v>
      </c>
    </row>
    <row r="32" spans="1:14">
      <c r="B32" s="51" t="s">
        <v>41</v>
      </c>
      <c r="C32" s="51"/>
      <c r="D32" s="51"/>
      <c r="E32" s="51"/>
      <c r="F32" s="51"/>
      <c r="G32" s="51"/>
      <c r="H32" s="51"/>
      <c r="I32" s="51"/>
      <c r="J32" s="51"/>
      <c r="K32" s="14" t="str">
        <f>SUM(K29:K31)</f>
        <v>0</v>
      </c>
      <c r="L32" s="9" t="s">
        <v>24</v>
      </c>
    </row>
    <row r="33" spans="1:14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4">
      <c r="B34" s="59" t="s">
        <v>42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4">
      <c r="B35" s="19" t="s">
        <v>43</v>
      </c>
      <c r="C35" s="56" t="s">
        <v>44</v>
      </c>
      <c r="D35" s="57"/>
      <c r="E35" s="58"/>
      <c r="F35" s="4" t="s">
        <v>45</v>
      </c>
      <c r="G35" s="56" t="s">
        <v>46</v>
      </c>
      <c r="H35" s="58"/>
      <c r="I35" s="3" t="s">
        <v>47</v>
      </c>
      <c r="J35" s="26" t="s">
        <v>36</v>
      </c>
      <c r="K35" s="47" t="s">
        <v>48</v>
      </c>
      <c r="L35" s="47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88" t="str">
        <f>'2'!C8</f>
        <v>0</v>
      </c>
      <c r="H36" s="6"/>
      <c r="I36" s="88" t="str">
        <f>'2'!C46</f>
        <v>0</v>
      </c>
      <c r="J36" s="88" t="str">
        <f>'2'!C44</f>
        <v>0</v>
      </c>
      <c r="K36" s="89" t="str">
        <f>'2'!C47</f>
        <v>0</v>
      </c>
      <c r="L36" s="47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88" t="str">
        <f>'2'!D8</f>
        <v>0</v>
      </c>
      <c r="H37" s="6"/>
      <c r="I37" s="88" t="str">
        <f>'2'!D46</f>
        <v>0</v>
      </c>
      <c r="J37" s="88" t="str">
        <f>'2'!D44</f>
        <v>0</v>
      </c>
      <c r="K37" s="89" t="str">
        <f>'2'!D47</f>
        <v>0</v>
      </c>
      <c r="L37" s="47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88" t="str">
        <f>'2'!E8</f>
        <v>0</v>
      </c>
      <c r="H38" s="6"/>
      <c r="I38" s="88" t="str">
        <f>'2'!E46</f>
        <v>0</v>
      </c>
      <c r="J38" s="88" t="str">
        <f>'2'!E44</f>
        <v>0</v>
      </c>
      <c r="K38" s="89" t="str">
        <f>'2'!E47</f>
        <v>0</v>
      </c>
      <c r="L38" s="47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88" t="str">
        <f>'2'!F8</f>
        <v>0</v>
      </c>
      <c r="H39" s="5"/>
      <c r="I39" s="88" t="str">
        <f>'2'!F46</f>
        <v>0</v>
      </c>
      <c r="J39" s="88" t="str">
        <f>'2'!F44</f>
        <v>0</v>
      </c>
      <c r="K39" s="89" t="str">
        <f>'2'!F47</f>
        <v>0</v>
      </c>
      <c r="L39" s="90"/>
      <c r="M39" s="1"/>
    </row>
    <row r="40" spans="1:14" customHeight="1" ht="15.6">
      <c r="B40" s="5">
        <v>5</v>
      </c>
      <c r="C40" s="5" t="s">
        <v>53</v>
      </c>
      <c r="D40" s="5"/>
      <c r="E40" s="5"/>
      <c r="F40" s="5" t="str">
        <f>'2'!G10</f>
        <v>0</v>
      </c>
      <c r="G40" s="88" t="str">
        <f>'2'!G8</f>
        <v>0</v>
      </c>
      <c r="H40" s="5"/>
      <c r="I40" s="88" t="str">
        <f>'2'!G46</f>
        <v>0</v>
      </c>
      <c r="J40" s="88" t="str">
        <f>'2'!G44</f>
        <v>0</v>
      </c>
      <c r="K40" s="89" t="str">
        <f>'2'!G47</f>
        <v>0</v>
      </c>
      <c r="L40" s="90"/>
    </row>
    <row r="41" spans="1:14">
      <c r="B41" s="5">
        <v>6</v>
      </c>
      <c r="C41" s="5" t="s">
        <v>54</v>
      </c>
      <c r="D41" s="5"/>
      <c r="E41" s="5"/>
      <c r="F41" s="5" t="str">
        <f>'2'!H10</f>
        <v>0</v>
      </c>
      <c r="G41" s="88" t="str">
        <f>'2'!H8</f>
        <v>0</v>
      </c>
      <c r="H41" s="5"/>
      <c r="I41" s="88" t="str">
        <f>'2'!H46</f>
        <v>0</v>
      </c>
      <c r="J41" s="88" t="str">
        <f>'2'!H44</f>
        <v>0</v>
      </c>
      <c r="K41" s="89" t="str">
        <f>'2'!H47</f>
        <v>0</v>
      </c>
      <c r="L41" s="31"/>
    </row>
    <row r="42" spans="1:14" customHeight="1" ht="18">
      <c r="B42" s="91">
        <v>7</v>
      </c>
      <c r="C42" s="5" t="s">
        <v>55</v>
      </c>
      <c r="D42" s="5"/>
      <c r="E42" s="5"/>
      <c r="F42" s="5" t="str">
        <f>'2'!I10</f>
        <v>0</v>
      </c>
      <c r="G42" s="88" t="str">
        <f>'2'!I8</f>
        <v>0</v>
      </c>
      <c r="H42" s="5"/>
      <c r="I42" s="88" t="str">
        <f>'2'!I46</f>
        <v>0</v>
      </c>
      <c r="J42" s="88" t="str">
        <f>'2'!I44</f>
        <v>0</v>
      </c>
      <c r="K42" s="89" t="str">
        <f>'2'!I47</f>
        <v>0</v>
      </c>
      <c r="L42" s="3"/>
    </row>
    <row r="43" spans="1:14" customHeight="1" ht="18">
      <c r="B43" s="91">
        <v>8</v>
      </c>
      <c r="C43" s="5" t="s">
        <v>56</v>
      </c>
      <c r="D43" s="5"/>
      <c r="E43" s="5"/>
      <c r="F43" s="5" t="str">
        <f>'2'!J10</f>
        <v>0</v>
      </c>
      <c r="G43" s="88" t="str">
        <f>'2'!J8</f>
        <v>0</v>
      </c>
      <c r="H43" s="5"/>
      <c r="I43" s="88" t="str">
        <f>'2'!J46</f>
        <v>0</v>
      </c>
      <c r="J43" s="88" t="str">
        <f>'2'!J44</f>
        <v>0</v>
      </c>
      <c r="K43" s="89" t="str">
        <f>'2'!J47</f>
        <v>0</v>
      </c>
      <c r="L43" s="3"/>
    </row>
    <row r="44" spans="1:14" customHeight="1" ht="18">
      <c r="B44" s="91">
        <v>9</v>
      </c>
      <c r="C44" s="5" t="s">
        <v>57</v>
      </c>
      <c r="D44" s="5"/>
      <c r="E44" s="5"/>
      <c r="F44" s="5" t="str">
        <f>'2'!K10</f>
        <v>0</v>
      </c>
      <c r="G44" s="88" t="str">
        <f>'2'!K8</f>
        <v>0</v>
      </c>
      <c r="H44" s="5"/>
      <c r="I44" s="88" t="str">
        <f>'2'!K46</f>
        <v>0</v>
      </c>
      <c r="J44" s="88" t="str">
        <f>'2'!K44</f>
        <v>0</v>
      </c>
      <c r="K44" s="89" t="str">
        <f>'2'!K47</f>
        <v>0</v>
      </c>
      <c r="L44" s="3"/>
    </row>
    <row r="45" spans="1:14" customHeight="1" ht="18">
      <c r="B45" s="91">
        <v>10</v>
      </c>
      <c r="C45" s="5" t="s">
        <v>58</v>
      </c>
      <c r="D45" s="5"/>
      <c r="E45" s="5"/>
      <c r="F45" s="5" t="str">
        <f>'2'!L10</f>
        <v>0</v>
      </c>
      <c r="G45" s="88" t="str">
        <f>'2'!L8</f>
        <v>0</v>
      </c>
      <c r="H45" s="5"/>
      <c r="I45" s="88" t="str">
        <f>'2'!L46</f>
        <v>0</v>
      </c>
      <c r="J45" s="88" t="str">
        <f>'2'!L44</f>
        <v>0</v>
      </c>
      <c r="K45" s="89" t="str">
        <f>'2'!L47</f>
        <v>0</v>
      </c>
      <c r="L45" s="3"/>
    </row>
    <row r="46" spans="1:14" customHeight="1" ht="18">
      <c r="B46" s="91">
        <v>11</v>
      </c>
      <c r="C46" s="5" t="s">
        <v>59</v>
      </c>
      <c r="D46" s="5"/>
      <c r="E46" s="5"/>
      <c r="F46" s="5" t="str">
        <f>'2'!M10</f>
        <v>0</v>
      </c>
      <c r="G46" s="88" t="str">
        <f>'2'!M8</f>
        <v>0</v>
      </c>
      <c r="H46" s="5"/>
      <c r="I46" s="88" t="str">
        <f>'2'!M46</f>
        <v>0</v>
      </c>
      <c r="J46" s="88" t="str">
        <f>'2'!M44</f>
        <v>0</v>
      </c>
      <c r="K46" s="89" t="str">
        <f>'2'!M47</f>
        <v>0</v>
      </c>
      <c r="L46" s="3"/>
    </row>
    <row r="47" spans="1:14" customHeight="1" ht="18">
      <c r="B47" s="91">
        <v>12</v>
      </c>
      <c r="C47" s="5" t="s">
        <v>60</v>
      </c>
      <c r="D47" s="5"/>
      <c r="E47" s="5"/>
      <c r="F47" s="5" t="str">
        <f>'2'!N10</f>
        <v>0</v>
      </c>
      <c r="G47" s="88" t="str">
        <f>'2'!N8</f>
        <v>0</v>
      </c>
      <c r="H47" s="5"/>
      <c r="I47" s="88" t="str">
        <f>'2'!N46</f>
        <v>0</v>
      </c>
      <c r="J47" s="88" t="str">
        <f>'2'!N44</f>
        <v>0</v>
      </c>
      <c r="K47" s="89" t="str">
        <f>'2'!N47</f>
        <v>0</v>
      </c>
      <c r="L47" s="3"/>
    </row>
    <row r="48" spans="1:14" customHeight="1" ht="18">
      <c r="B48" s="91">
        <v>13</v>
      </c>
      <c r="C48" s="5" t="s">
        <v>61</v>
      </c>
      <c r="D48" s="5"/>
      <c r="E48" s="5"/>
      <c r="F48" s="5" t="str">
        <f>'2'!O10</f>
        <v>0</v>
      </c>
      <c r="G48" s="88" t="str">
        <f>'2'!O8</f>
        <v>0</v>
      </c>
      <c r="H48" s="5"/>
      <c r="I48" s="88" t="str">
        <f>'2'!O46</f>
        <v>0</v>
      </c>
      <c r="J48" s="88" t="str">
        <f>'2'!O44</f>
        <v>0</v>
      </c>
      <c r="K48" s="89" t="str">
        <f>'2'!O47</f>
        <v>0</v>
      </c>
      <c r="L48" s="3"/>
    </row>
    <row r="49" spans="1:14" customHeight="1" ht="18">
      <c r="B49" s="91">
        <v>14</v>
      </c>
      <c r="C49" s="5" t="s">
        <v>62</v>
      </c>
      <c r="D49" s="5"/>
      <c r="E49" s="5"/>
      <c r="F49" s="5" t="str">
        <f>'2'!P10</f>
        <v>0</v>
      </c>
      <c r="G49" s="88" t="str">
        <f>'2'!P8</f>
        <v>0</v>
      </c>
      <c r="H49" s="5"/>
      <c r="I49" s="88" t="str">
        <f>'2'!P46</f>
        <v>0</v>
      </c>
      <c r="J49" s="88" t="str">
        <f>'2'!P44</f>
        <v>0</v>
      </c>
      <c r="K49" s="89" t="str">
        <f>'2'!P47</f>
        <v>0</v>
      </c>
      <c r="L49" s="3"/>
    </row>
    <row r="50" spans="1:14" customHeight="1" ht="18">
      <c r="B50" s="91">
        <v>15</v>
      </c>
      <c r="C50" s="5" t="s">
        <v>63</v>
      </c>
      <c r="D50" s="5"/>
      <c r="E50" s="5"/>
      <c r="F50" s="5" t="str">
        <f>'2'!Q10</f>
        <v>0</v>
      </c>
      <c r="G50" s="88" t="str">
        <f>'2'!Q8</f>
        <v>0</v>
      </c>
      <c r="H50" s="5"/>
      <c r="I50" s="88" t="str">
        <f>'2'!Q46</f>
        <v>0</v>
      </c>
      <c r="J50" s="88" t="str">
        <f>'2'!Q44</f>
        <v>0</v>
      </c>
      <c r="K50" s="89" t="str">
        <f>'2'!Q47</f>
        <v>0</v>
      </c>
      <c r="L50" s="3"/>
    </row>
    <row r="51" spans="1:14" customHeight="1" ht="18">
      <c r="B51" s="91">
        <v>16</v>
      </c>
      <c r="C51" s="5" t="s">
        <v>64</v>
      </c>
      <c r="D51" s="5"/>
      <c r="E51" s="5"/>
      <c r="F51" s="5" t="str">
        <f>'2'!R10</f>
        <v>0</v>
      </c>
      <c r="G51" s="88" t="str">
        <f>'2'!R8</f>
        <v>0</v>
      </c>
      <c r="H51" s="5"/>
      <c r="I51" s="88" t="str">
        <f>'2'!R46</f>
        <v>0</v>
      </c>
      <c r="J51" s="88" t="str">
        <f>'2'!R44</f>
        <v>0</v>
      </c>
      <c r="K51" s="89" t="str">
        <f>'2'!R47</f>
        <v>0</v>
      </c>
      <c r="L51" s="3"/>
    </row>
    <row r="52" spans="1:14" customHeight="1" ht="18">
      <c r="B52" s="91">
        <v>17</v>
      </c>
      <c r="C52" s="5" t="s">
        <v>65</v>
      </c>
      <c r="D52" s="5"/>
      <c r="E52" s="5"/>
      <c r="F52" s="5" t="str">
        <f>'2'!S10</f>
        <v>0</v>
      </c>
      <c r="G52" s="88" t="str">
        <f>'2'!S8</f>
        <v>0</v>
      </c>
      <c r="H52" s="5"/>
      <c r="I52" s="88" t="str">
        <f>'2'!S46</f>
        <v>0</v>
      </c>
      <c r="J52" s="88" t="str">
        <f>'2'!S44</f>
        <v>0</v>
      </c>
      <c r="K52" s="89" t="str">
        <f>'2'!S47</f>
        <v>0</v>
      </c>
      <c r="L52" s="3"/>
    </row>
    <row r="53" spans="1:14" customHeight="1" ht="18">
      <c r="B53" s="91">
        <v>18</v>
      </c>
      <c r="C53" s="5" t="s">
        <v>66</v>
      </c>
      <c r="D53" s="5"/>
      <c r="E53" s="5"/>
      <c r="F53" s="5" t="str">
        <f>'2'!T10</f>
        <v>0</v>
      </c>
      <c r="G53" s="88" t="str">
        <f>'2'!T8</f>
        <v>0</v>
      </c>
      <c r="H53" s="5"/>
      <c r="I53" s="88" t="str">
        <f>'2'!T46</f>
        <v>0</v>
      </c>
      <c r="J53" s="88" t="str">
        <f>'2'!T44</f>
        <v>0</v>
      </c>
      <c r="K53" s="89" t="str">
        <f>'2'!T47</f>
        <v>0</v>
      </c>
      <c r="L53" s="3"/>
    </row>
    <row r="54" spans="1:14" customHeight="1" ht="18">
      <c r="B54" s="91">
        <v>19</v>
      </c>
      <c r="C54" s="5" t="s">
        <v>67</v>
      </c>
      <c r="D54" s="5"/>
      <c r="E54" s="5"/>
      <c r="F54" s="5" t="str">
        <f>'2'!U10</f>
        <v>0</v>
      </c>
      <c r="G54" s="88" t="str">
        <f>'2'!U8</f>
        <v>0</v>
      </c>
      <c r="H54" s="5"/>
      <c r="I54" s="88" t="str">
        <f>'2'!U46</f>
        <v>0</v>
      </c>
      <c r="J54" s="88" t="str">
        <f>'2'!U44</f>
        <v>0</v>
      </c>
      <c r="K54" s="89" t="str">
        <f>'2'!U47</f>
        <v>0</v>
      </c>
      <c r="L54" s="3"/>
    </row>
    <row r="55" spans="1:14" customHeight="1" ht="18">
      <c r="B55" s="91">
        <v>20</v>
      </c>
      <c r="C55" s="5" t="s">
        <v>68</v>
      </c>
      <c r="D55" s="5"/>
      <c r="E55" s="5"/>
      <c r="F55" s="5" t="str">
        <f>'2'!V10</f>
        <v>0</v>
      </c>
      <c r="G55" s="88" t="str">
        <f>'2'!V8</f>
        <v>0</v>
      </c>
      <c r="H55" s="5"/>
      <c r="I55" s="88" t="str">
        <f>'2'!V46</f>
        <v>0</v>
      </c>
      <c r="J55" s="88" t="str">
        <f>'2'!V44</f>
        <v>0</v>
      </c>
      <c r="K55" s="89" t="str">
        <f>'2'!V47</f>
        <v>0</v>
      </c>
      <c r="L55" s="3"/>
    </row>
    <row r="56" spans="1:14" customHeight="1" ht="18">
      <c r="B56" s="91">
        <v>21</v>
      </c>
      <c r="C56" s="5" t="s">
        <v>69</v>
      </c>
      <c r="D56" s="5"/>
      <c r="E56" s="5"/>
      <c r="F56" s="5" t="str">
        <f>'2'!W10</f>
        <v>0</v>
      </c>
      <c r="G56" s="88" t="str">
        <f>'2'!W8</f>
        <v>0</v>
      </c>
      <c r="H56" s="5"/>
      <c r="I56" s="88" t="str">
        <f>'2'!W46</f>
        <v>0</v>
      </c>
      <c r="J56" s="88" t="str">
        <f>'2'!W44</f>
        <v>0</v>
      </c>
      <c r="K56" s="89" t="str">
        <f>'2'!W47</f>
        <v>0</v>
      </c>
      <c r="L56" s="3"/>
    </row>
    <row r="57" spans="1:14" customHeight="1" ht="18">
      <c r="B57" s="91">
        <v>22</v>
      </c>
      <c r="C57" s="5" t="s">
        <v>70</v>
      </c>
      <c r="D57" s="5"/>
      <c r="E57" s="5"/>
      <c r="F57" s="5" t="str">
        <f>'2'!X10</f>
        <v>0</v>
      </c>
      <c r="G57" s="88" t="str">
        <f>'2'!X8</f>
        <v>0</v>
      </c>
      <c r="H57" s="5"/>
      <c r="I57" s="88" t="str">
        <f>'2'!X46</f>
        <v>0</v>
      </c>
      <c r="J57" s="88" t="str">
        <f>'2'!X44</f>
        <v>0</v>
      </c>
      <c r="K57" s="89" t="str">
        <f>'2'!X47</f>
        <v>0</v>
      </c>
      <c r="L57" s="3"/>
    </row>
    <row r="58" spans="1:14" customHeight="1" ht="18">
      <c r="B58" s="91">
        <v>23</v>
      </c>
      <c r="C58" s="5" t="s">
        <v>71</v>
      </c>
      <c r="D58" s="5"/>
      <c r="E58" s="5"/>
      <c r="F58" s="5" t="str">
        <f>'2'!Y10</f>
        <v>0</v>
      </c>
      <c r="G58" s="88" t="str">
        <f>'2'!Y8</f>
        <v>0</v>
      </c>
      <c r="H58" s="5"/>
      <c r="I58" s="88" t="str">
        <f>'2'!Y46</f>
        <v>0</v>
      </c>
      <c r="J58" s="88" t="str">
        <f>'2'!Y44</f>
        <v>0</v>
      </c>
      <c r="K58" s="89" t="str">
        <f>'2'!Y47</f>
        <v>0</v>
      </c>
      <c r="L58" s="3"/>
    </row>
    <row r="59" spans="1:14" customHeight="1" ht="18">
      <c r="B59" s="91">
        <v>24</v>
      </c>
      <c r="C59" s="5" t="s">
        <v>72</v>
      </c>
      <c r="D59" s="5"/>
      <c r="E59" s="5"/>
      <c r="F59" s="5" t="str">
        <f>'2'!Z10</f>
        <v>0</v>
      </c>
      <c r="G59" s="88" t="str">
        <f>'2'!Z8</f>
        <v>0</v>
      </c>
      <c r="H59" s="5"/>
      <c r="I59" s="88" t="str">
        <f>'2'!Z46</f>
        <v>0</v>
      </c>
      <c r="J59" s="88" t="str">
        <f>'2'!Z44</f>
        <v>0</v>
      </c>
      <c r="K59" s="89" t="str">
        <f>'2'!Z47</f>
        <v>0</v>
      </c>
      <c r="L59" s="3"/>
    </row>
    <row r="60" spans="1:14" customHeight="1" ht="18">
      <c r="B60" s="91">
        <v>25</v>
      </c>
      <c r="C60" s="5" t="s">
        <v>73</v>
      </c>
      <c r="D60" s="5"/>
      <c r="E60" s="5"/>
      <c r="F60" s="5" t="str">
        <f>'2'!AA10</f>
        <v>0</v>
      </c>
      <c r="G60" s="88" t="str">
        <f>'2'!AA8</f>
        <v>0</v>
      </c>
      <c r="H60" s="5"/>
      <c r="I60" s="88" t="str">
        <f>'2'!AA46</f>
        <v>0</v>
      </c>
      <c r="J60" s="88" t="str">
        <f>'2'!AA44</f>
        <v>0</v>
      </c>
      <c r="K60" s="89" t="str">
        <f>'2'!AA47</f>
        <v>0</v>
      </c>
      <c r="L60" s="3"/>
    </row>
    <row r="61" spans="1:14" customHeight="1" ht="18">
      <c r="B61" s="93" t="s">
        <v>36</v>
      </c>
      <c r="C61" s="92"/>
      <c r="D61" s="92"/>
      <c r="E61" s="92"/>
      <c r="F61" s="93" t="str">
        <f>SUM(F36:F60)</f>
        <v>0</v>
      </c>
      <c r="G61" s="64"/>
      <c r="H61" s="64"/>
      <c r="I61" s="64"/>
      <c r="J61" s="94" t="str">
        <f>SUM(J36:J60)</f>
        <v>0</v>
      </c>
      <c r="K61" s="64"/>
      <c r="L61" s="64"/>
    </row>
    <row r="62" spans="1:14" customHeight="1" ht="18">
      <c r="B62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No se emite comprobante por concepto de "PERCEPCIÓN, ANTI DUMPING, GESTIÓN DE COMPRA"</t>
          </r>
        </is>
      </c>
      <c r="C62" s="64"/>
      <c r="D62" s="64"/>
      <c r="E62" s="64"/>
      <c r="F62" s="64"/>
      <c r="G62" s="64"/>
      <c r="H62" s="64"/>
      <c r="I62" s="64"/>
      <c r="J62" s="64"/>
      <c r="K62" s="64"/>
      <c r="L62" s="64"/>
    </row>
    <row r="63" spans="1:14" customHeight="1" ht="18">
      <c r="B63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A nosotros se nos pagan los </t>
          </r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Gastos Logísticos + Impuestos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 una semana antes de que el contenedor</t>
          </r>
        </is>
      </c>
      <c r="C63" s="64"/>
      <c r="D63" s="64"/>
      <c r="E63" s="64"/>
      <c r="F63" s="64"/>
      <c r="G63" s="64"/>
      <c r="H63" s="64"/>
      <c r="I63" s="64"/>
      <c r="J63" s="64"/>
      <c r="K63" s="64"/>
      <c r="L63" s="64"/>
    </row>
    <row r="64" spans="1:14" customHeight="1" ht="18">
      <c r="B64" s="64" t="s">
        <v>76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</row>
    <row r="65" spans="1:14" customHeight="1" ht="18">
      <c r="B65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El tipo de cambio referencial usado para la conversión a soles es del 3.70</t>
          </r>
        </is>
      </c>
      <c r="C65" s="64"/>
      <c r="D65" s="64"/>
      <c r="E65" s="64"/>
      <c r="F65" s="64"/>
      <c r="G65" s="64"/>
      <c r="H65" s="64"/>
      <c r="I65" s="64"/>
      <c r="J65" s="64"/>
      <c r="K65" s="64"/>
      <c r="L65" s="64"/>
    </row>
    <row r="66" spans="1:14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4" customHeight="1" ht="9">
      <c r="B67" s="38"/>
      <c r="C67" s="38"/>
      <c r="E67" s="38"/>
      <c r="F67" s="38"/>
      <c r="G67" s="38"/>
      <c r="H67" s="38"/>
      <c r="I67" s="38"/>
      <c r="J67" s="38"/>
      <c r="K67" s="38"/>
      <c r="L67" s="38"/>
      <c r="M67" s="38"/>
    </row>
    <row r="68" spans="1:14" customHeight="1" ht="31.8">
      <c r="B68" s="38"/>
      <c r="C68" s="38"/>
      <c r="D68" s="37" t="s">
        <v>0</v>
      </c>
      <c r="E68" s="37"/>
      <c r="F68" s="37"/>
      <c r="G68" s="37"/>
      <c r="H68" s="37"/>
      <c r="I68" s="37"/>
      <c r="J68" s="37"/>
      <c r="K68" s="37"/>
      <c r="L68" s="37"/>
      <c r="M68" s="37"/>
    </row>
    <row r="69" spans="1:14" customHeight="1" ht="21">
      <c r="B69" s="38"/>
      <c r="C69" s="38"/>
      <c r="D69" s="53" t="s">
        <v>78</v>
      </c>
      <c r="E69" s="53"/>
      <c r="F69" s="53"/>
      <c r="G69" s="53"/>
      <c r="H69" s="53"/>
      <c r="I69" s="53"/>
    </row>
    <row r="70" spans="1:14">
      <c r="B70" s="38"/>
      <c r="C70" s="38"/>
    </row>
    <row r="71" spans="1:14">
      <c r="B71" s="38"/>
      <c r="C71" s="38"/>
    </row>
    <row r="72" spans="1:14" customHeight="1" ht="21">
      <c r="B72" s="70" t="s">
        <v>79</v>
      </c>
      <c r="C72" s="70"/>
      <c r="D72" s="70"/>
      <c r="E72" s="70"/>
      <c r="F72" s="70"/>
      <c r="G72" s="70"/>
      <c r="H72" s="70"/>
      <c r="I72" s="70"/>
      <c r="J72" s="70"/>
      <c r="K72" s="70"/>
      <c r="L72" s="70"/>
    </row>
    <row r="74" spans="1:14">
      <c r="B74" s="71" t="s">
        <v>80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</row>
    <row r="75" spans="1:14">
      <c r="B75" s="71" t="s">
        <v>81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49" t="s">
        <v>82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</row>
    <row r="77" spans="1:14">
      <c r="B77" s="71" t="s">
        <v>83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1:14">
      <c r="B78" s="71" t="s">
        <v>84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4">
      <c r="B79" s="49" t="s">
        <v>85</v>
      </c>
      <c r="C79" s="49"/>
      <c r="D79" s="49"/>
      <c r="E79" s="49"/>
      <c r="F79" s="49"/>
      <c r="G79" s="49"/>
      <c r="H79" s="49"/>
      <c r="I79" s="49"/>
      <c r="J79" s="49"/>
      <c r="K79" s="49"/>
      <c r="L79" s="49"/>
    </row>
    <row r="80" spans="1:14">
      <c r="B80" s="71" t="s">
        <v>86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1:14">
      <c r="B81" s="71" t="s">
        <v>87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4">
      <c r="B82" s="71" t="s">
        <v>88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4">
      <c r="B83" s="71" t="s">
        <v>89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4">
      <c r="B84" s="71" t="s">
        <v>90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 spans="1:14">
      <c r="B85" s="71" t="s">
        <v>91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</row>
    <row r="86" spans="1:14">
      <c r="B86" s="71" t="s">
        <v>92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</row>
    <row r="87" spans="1:14">
      <c r="B87" s="71" t="s">
        <v>93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</row>
    <row r="88" spans="1:14">
      <c r="B88" s="71" t="s">
        <v>94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</row>
    <row r="89" spans="1:14">
      <c r="B89" s="71" t="s">
        <v>95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1:14">
      <c r="B90" s="71" t="inlineStr">
        <is>
          <r>
            <t xml:space="preserve">13.</t>
          </r>
          <r>
            <rPr>
              <rFont val="Calibri Light"/>
              <b val="false"/>
              <i val="false"/>
              <strike val="false"/>
              <color rgb="FF000000"/>
              <sz val="7"/>
              <u val="none"/>
            </rPr>
            <t xml:space="preserve"> </t>
          </r>
          <r>
            <rPr>
              <rFont val="Calibri Light"/>
              <b val="false"/>
              <i val="false"/>
              <strike val="false"/>
              <color rgb="FF000000"/>
              <sz val="11"/>
              <u val="none"/>
            </rPr>
            <t xml:space="preserve">Los documentos de importación deber ser entregados a tiempo, de lo contrario, el participante no tendrá opción</t>
          </r>
        </is>
      </c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 spans="1:14">
      <c r="B91" s="67" t="s">
        <v>97</v>
      </c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1:14">
      <c r="B92" s="71" t="s">
        <v>98</v>
      </c>
      <c r="C92" s="71"/>
      <c r="D92" s="71"/>
      <c r="E92" s="71"/>
      <c r="F92" s="71"/>
      <c r="G92" s="71"/>
      <c r="H92" s="71"/>
      <c r="I92" s="71"/>
      <c r="J92" s="71"/>
      <c r="K92" s="71"/>
      <c r="L92" s="71"/>
    </row>
    <row r="93" spans="1:14">
      <c r="B93" s="67" t="s">
        <v>99</v>
      </c>
      <c r="C93" s="67"/>
      <c r="D93" s="67"/>
      <c r="E93" s="67"/>
      <c r="F93" s="67"/>
      <c r="G93" s="67"/>
      <c r="H93" s="67"/>
      <c r="I93" s="67"/>
      <c r="J93" s="67"/>
      <c r="K93" s="67"/>
      <c r="L93" s="67"/>
    </row>
    <row r="94" spans="1:14">
      <c r="B94" s="71" t="s">
        <v>100</v>
      </c>
      <c r="C94" s="71"/>
      <c r="D94" s="71"/>
      <c r="E94" s="71"/>
      <c r="F94" s="71"/>
      <c r="G94" s="71"/>
      <c r="H94" s="71"/>
      <c r="I94" s="71"/>
      <c r="J94" s="71"/>
      <c r="K94" s="71"/>
      <c r="L94" s="71"/>
    </row>
    <row r="95" spans="1:14">
      <c r="B95" s="71" t="s">
        <v>101</v>
      </c>
      <c r="C95" s="71"/>
      <c r="D95" s="71"/>
      <c r="E95" s="71"/>
      <c r="F95" s="71"/>
      <c r="G95" s="71"/>
      <c r="H95" s="71"/>
      <c r="I95" s="71"/>
      <c r="J95" s="71"/>
      <c r="K95" s="71"/>
      <c r="L95" s="71"/>
    </row>
    <row r="96" spans="1:14">
      <c r="B96" s="71" t="s">
        <v>102</v>
      </c>
      <c r="C96" s="71"/>
      <c r="D96" s="71"/>
      <c r="E96" s="71"/>
      <c r="F96" s="71"/>
      <c r="G96" s="71"/>
      <c r="H96" s="71"/>
      <c r="I96" s="71"/>
      <c r="J96" s="71"/>
      <c r="K96" s="71"/>
      <c r="L96" s="71"/>
    </row>
    <row r="97" spans="1:14">
      <c r="B97" s="71" t="s">
        <v>103</v>
      </c>
      <c r="C97" s="71"/>
      <c r="D97" s="71"/>
      <c r="E97" s="71"/>
      <c r="F97" s="71"/>
      <c r="G97" s="71"/>
      <c r="H97" s="71"/>
      <c r="I97" s="71"/>
      <c r="J97" s="71"/>
      <c r="K97" s="71"/>
      <c r="L97" s="71"/>
    </row>
    <row r="98" spans="1:14">
      <c r="B98" s="71" t="s">
        <v>104</v>
      </c>
      <c r="C98" s="71"/>
      <c r="D98" s="71"/>
      <c r="E98" s="71"/>
      <c r="F98" s="71"/>
      <c r="G98" s="71"/>
      <c r="H98" s="71"/>
      <c r="I98" s="71"/>
      <c r="J98" s="71"/>
      <c r="K98" s="71"/>
      <c r="L98" s="71"/>
    </row>
    <row r="99" spans="1:14">
      <c r="A99" s="32"/>
      <c r="B99" s="72" t="s">
        <v>105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</row>
    <row r="100" spans="1:14">
      <c r="A100" s="32"/>
      <c r="B100" s="71" t="s">
        <v>106</v>
      </c>
      <c r="C100" s="71"/>
      <c r="D100" s="71"/>
      <c r="E100" s="71"/>
      <c r="F100" s="71"/>
      <c r="G100" s="71"/>
      <c r="H100" s="71"/>
      <c r="I100" s="71"/>
      <c r="J100" s="71"/>
      <c r="K100" s="71"/>
      <c r="L100" s="71"/>
    </row>
    <row r="101" spans="1:14">
      <c r="A101" s="32"/>
      <c r="B101" s="72" t="s">
        <v>107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</row>
    <row r="103" spans="1:14">
      <c r="C103" s="38"/>
      <c r="D103" s="38"/>
      <c r="E103" s="38"/>
      <c r="F103" s="38"/>
      <c r="G103" s="38"/>
      <c r="H103" s="38"/>
      <c r="I103" s="38"/>
    </row>
    <row r="104" spans="1:14">
      <c r="C104" s="38"/>
      <c r="D104" s="38"/>
      <c r="E104" s="38"/>
      <c r="F104" s="38"/>
      <c r="G104" s="38"/>
      <c r="H104" s="38"/>
      <c r="I104" s="38"/>
    </row>
    <row r="105" spans="1:14">
      <c r="C105" s="38"/>
      <c r="D105" s="38"/>
      <c r="E105" s="38"/>
      <c r="F105" s="38"/>
      <c r="G105" s="38"/>
      <c r="H105" s="38"/>
      <c r="I105" s="38"/>
    </row>
    <row r="106" spans="1:14">
      <c r="C106" s="38"/>
      <c r="D106" s="38"/>
      <c r="E106" s="38"/>
      <c r="F106" s="38"/>
      <c r="G106" s="38"/>
      <c r="H106" s="38"/>
      <c r="I106" s="38"/>
    </row>
    <row r="107" spans="1:14">
      <c r="C107" s="38"/>
      <c r="D107" s="38"/>
      <c r="E107" s="38"/>
      <c r="F107" s="38"/>
      <c r="G107" s="38"/>
      <c r="H107" s="38"/>
      <c r="I107" s="38"/>
    </row>
    <row r="108" spans="1:14">
      <c r="C108" s="38"/>
      <c r="D108" s="38"/>
      <c r="E108" s="38"/>
      <c r="F108" s="38"/>
      <c r="G108" s="38"/>
      <c r="H108" s="38"/>
      <c r="I108" s="38"/>
    </row>
    <row r="109" spans="1:14">
      <c r="C109" s="38"/>
      <c r="D109" s="38"/>
      <c r="E109" s="38"/>
      <c r="F109" s="38"/>
      <c r="G109" s="38"/>
      <c r="H109" s="38"/>
      <c r="I109" s="38"/>
    </row>
    <row r="110" spans="1:14" customHeight="1" ht="15.6">
      <c r="C110" s="38"/>
      <c r="D110" s="38"/>
      <c r="E110" s="38"/>
      <c r="F110" s="38"/>
      <c r="G110" s="38"/>
      <c r="H110" s="38"/>
      <c r="I110" s="38"/>
    </row>
    <row r="111" spans="1:14" customHeight="1" ht="15.6">
      <c r="C111" s="38"/>
      <c r="D111" s="38"/>
      <c r="E111" s="38"/>
      <c r="F111" s="38"/>
      <c r="G111" s="38"/>
      <c r="H111" s="38"/>
      <c r="I111" s="38"/>
    </row>
    <row r="112" spans="1:14">
      <c r="C112" s="38"/>
      <c r="D112" s="38"/>
      <c r="E112" s="38"/>
      <c r="F112" s="38"/>
      <c r="G112" s="38"/>
      <c r="H112" s="38"/>
      <c r="I112" s="38"/>
    </row>
    <row r="118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91:L91"/>
    <mergeCell ref="B92:L92"/>
    <mergeCell ref="A7:C7"/>
    <mergeCell ref="I7:L7"/>
    <mergeCell ref="B76:L76"/>
    <mergeCell ref="B65:L65"/>
    <mergeCell ref="C38:E38"/>
    <mergeCell ref="K38:L38"/>
    <mergeCell ref="B74:L74"/>
    <mergeCell ref="B87:L87"/>
    <mergeCell ref="B75:L75"/>
    <mergeCell ref="G37:H37"/>
    <mergeCell ref="J11:L11"/>
    <mergeCell ref="B101:L101"/>
    <mergeCell ref="B84:L84"/>
    <mergeCell ref="B85:L85"/>
    <mergeCell ref="B86:L86"/>
    <mergeCell ref="B77:L77"/>
    <mergeCell ref="B78:L78"/>
    <mergeCell ref="B79:L79"/>
    <mergeCell ref="B80:L80"/>
    <mergeCell ref="B81:L81"/>
    <mergeCell ref="B82:L82"/>
    <mergeCell ref="B83:L83"/>
    <mergeCell ref="B88:L88"/>
    <mergeCell ref="B89:L89"/>
    <mergeCell ref="B90:L90"/>
    <mergeCell ref="B100:L100"/>
    <mergeCell ref="B99:L99"/>
    <mergeCell ref="B98:L98"/>
    <mergeCell ref="B93:L93"/>
    <mergeCell ref="B94:L94"/>
    <mergeCell ref="B95:L95"/>
    <mergeCell ref="B96:L96"/>
    <mergeCell ref="B97:L97"/>
    <mergeCell ref="B67:C71"/>
    <mergeCell ref="B19:F19"/>
    <mergeCell ref="C35:E35"/>
    <mergeCell ref="B72:L72"/>
    <mergeCell ref="B63:L63"/>
    <mergeCell ref="G38:H38"/>
    <mergeCell ref="K37:L37"/>
    <mergeCell ref="C37:E37"/>
    <mergeCell ref="B27:I27"/>
    <mergeCell ref="B23:I23"/>
    <mergeCell ref="B20:I20"/>
    <mergeCell ref="B21:I21"/>
    <mergeCell ref="B22:I22"/>
    <mergeCell ref="D68:J68"/>
    <mergeCell ref="B31:J31"/>
    <mergeCell ref="B26:I26"/>
    <mergeCell ref="B12:L12"/>
    <mergeCell ref="B13:J13"/>
    <mergeCell ref="B14:J14"/>
    <mergeCell ref="B16:J16"/>
    <mergeCell ref="B15:J15"/>
    <mergeCell ref="C103:I112"/>
    <mergeCell ref="A1:L1"/>
    <mergeCell ref="E2:L2"/>
    <mergeCell ref="D69:I6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64:L64"/>
    <mergeCell ref="B62:L62"/>
    <mergeCell ref="F11:G11"/>
    <mergeCell ref="K68:M68"/>
    <mergeCell ref="E67:M67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44:E44"/>
    <mergeCell ref="G44:H44"/>
    <mergeCell ref="K44:L44"/>
    <mergeCell ref="C45:E45"/>
    <mergeCell ref="G45:H45"/>
    <mergeCell ref="K45:L45"/>
    <mergeCell ref="C46:E46"/>
    <mergeCell ref="G46:H46"/>
    <mergeCell ref="K46:L46"/>
    <mergeCell ref="C47:E47"/>
    <mergeCell ref="G47:H47"/>
    <mergeCell ref="K47:L47"/>
    <mergeCell ref="C48:E48"/>
    <mergeCell ref="G48:H48"/>
    <mergeCell ref="K48:L48"/>
    <mergeCell ref="C49:E49"/>
    <mergeCell ref="G49:H49"/>
    <mergeCell ref="K49:L49"/>
    <mergeCell ref="C50:E50"/>
    <mergeCell ref="G50:H50"/>
    <mergeCell ref="K50:L50"/>
    <mergeCell ref="C51:E51"/>
    <mergeCell ref="G51:H51"/>
    <mergeCell ref="K51:L51"/>
    <mergeCell ref="C52:E52"/>
    <mergeCell ref="G52:H52"/>
    <mergeCell ref="K52:L52"/>
    <mergeCell ref="C53:E53"/>
    <mergeCell ref="G53:H53"/>
    <mergeCell ref="K53:L53"/>
    <mergeCell ref="C54:E54"/>
    <mergeCell ref="G54:H54"/>
    <mergeCell ref="K54:L54"/>
    <mergeCell ref="C55:E55"/>
    <mergeCell ref="G55:H55"/>
    <mergeCell ref="K55:L55"/>
    <mergeCell ref="C56:E56"/>
    <mergeCell ref="G56:H56"/>
    <mergeCell ref="K56:L56"/>
    <mergeCell ref="C57:E57"/>
    <mergeCell ref="G57:H57"/>
    <mergeCell ref="K57:L57"/>
    <mergeCell ref="C58:E58"/>
    <mergeCell ref="G58:H58"/>
    <mergeCell ref="K58:L58"/>
    <mergeCell ref="C59:E59"/>
    <mergeCell ref="G59:H59"/>
    <mergeCell ref="K59:L59"/>
    <mergeCell ref="C60:E60"/>
    <mergeCell ref="G60:H60"/>
    <mergeCell ref="K60:L60"/>
    <mergeCell ref="B61:E61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6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7"/>
  <sheetViews>
    <sheetView tabSelected="0" workbookViewId="0" showGridLines="true" showRowColHeaders="1">
      <selection activeCell="AB44" sqref="AB44"/>
    </sheetView>
  </sheetViews>
  <sheetFormatPr defaultRowHeight="14.4" outlineLevelRow="0" outlineLevelCol="0"/>
  <cols>
    <col min="2" max="2" width="24.708252" bestFit="true" customWidth="true" style="0"/>
    <col min="3" max="3" width="16.424561" bestFit="true" customWidth="true" style="0"/>
    <col min="4" max="4" width="16.424561" bestFit="true" customWidth="true" style="0"/>
    <col min="5" max="5" width="17.567139" bestFit="true" customWidth="true" style="0"/>
    <col min="6" max="6" width="21.137695" bestFit="true" customWidth="true" style="0"/>
    <col min="7" max="7" width="21.137695" bestFit="true" customWidth="true" style="0"/>
    <col min="8" max="8" width="36.419678" bestFit="true" customWidth="true" style="0"/>
    <col min="9" max="9" width="28.135986" bestFit="true" customWidth="true" style="0"/>
    <col min="10" max="10" width="28.135986" bestFit="true" customWidth="true" style="0"/>
    <col min="11" max="11" width="18.709717" bestFit="true" customWidth="true" style="0"/>
    <col min="12" max="12" width="28.135986" bestFit="true" customWidth="true" style="0"/>
    <col min="13" max="13" width="36.419678" bestFit="true" customWidth="true" style="0"/>
    <col min="14" max="14" width="17.567139" bestFit="true" customWidth="true" style="0"/>
    <col min="15" max="15" width="17.567139" bestFit="true" customWidth="true" style="0"/>
    <col min="16" max="16" width="18.709717" bestFit="true" customWidth="true" style="0"/>
    <col min="17" max="17" width="41.132813" bestFit="true" customWidth="true" style="0"/>
    <col min="18" max="18" width="24.708252" bestFit="true" customWidth="true" style="0"/>
    <col min="19" max="19" width="39.990234" bestFit="true" customWidth="true" style="0"/>
    <col min="20" max="20" width="51.844482" bestFit="true" customWidth="true" style="0"/>
    <col min="21" max="21" width="41.132813" bestFit="true" customWidth="true" style="0"/>
    <col min="22" max="22" width="41.132813" bestFit="true" customWidth="true" style="0"/>
    <col min="23" max="23" width="41.132813" bestFit="true" customWidth="true" style="0"/>
    <col min="24" max="24" width="43.560791" bestFit="true" customWidth="true" style="0"/>
    <col min="25" max="25" width="26.993408" bestFit="true" customWidth="true" style="0"/>
    <col min="26" max="26" width="35.2771" bestFit="true" customWidth="true" style="0"/>
    <col min="27" max="27" width="48.273926" bestFit="true" customWidth="true" style="0"/>
    <col min="28" max="28" width="13.996582" bestFit="true" customWidth="true" style="0"/>
  </cols>
  <sheetData>
    <row r="3" spans="1:32">
      <c r="B3" s="75" t="s">
        <v>108</v>
      </c>
      <c r="C3" s="74"/>
      <c r="D3" s="74"/>
      <c r="E3" s="74"/>
      <c r="F3" s="74"/>
      <c r="G3" s="74"/>
    </row>
    <row r="5" spans="1:32">
      <c r="B5" s="78" t="s">
        <v>109</v>
      </c>
      <c r="C5" s="80" t="s">
        <v>49</v>
      </c>
      <c r="D5" s="80" t="s">
        <v>50</v>
      </c>
      <c r="E5" s="80" t="s">
        <v>51</v>
      </c>
      <c r="F5" s="80" t="s">
        <v>52</v>
      </c>
      <c r="G5" s="80" t="s">
        <v>53</v>
      </c>
      <c r="H5" s="80" t="s">
        <v>54</v>
      </c>
      <c r="I5" s="80" t="s">
        <v>55</v>
      </c>
      <c r="J5" s="80" t="s">
        <v>56</v>
      </c>
      <c r="K5" s="80" t="s">
        <v>57</v>
      </c>
      <c r="L5" s="80" t="s">
        <v>58</v>
      </c>
      <c r="M5" s="80" t="s">
        <v>59</v>
      </c>
      <c r="N5" s="80" t="s">
        <v>60</v>
      </c>
      <c r="O5" s="80" t="s">
        <v>61</v>
      </c>
      <c r="P5" s="80" t="s">
        <v>62</v>
      </c>
      <c r="Q5" s="80" t="s">
        <v>63</v>
      </c>
      <c r="R5" s="80" t="s">
        <v>64</v>
      </c>
      <c r="S5" s="80" t="s">
        <v>65</v>
      </c>
      <c r="T5" s="80" t="s">
        <v>66</v>
      </c>
      <c r="U5" s="80" t="s">
        <v>67</v>
      </c>
      <c r="V5" s="80" t="s">
        <v>68</v>
      </c>
      <c r="W5" s="80" t="s">
        <v>69</v>
      </c>
      <c r="X5" s="80" t="s">
        <v>70</v>
      </c>
      <c r="Y5" s="80" t="s">
        <v>71</v>
      </c>
      <c r="Z5" s="80" t="s">
        <v>72</v>
      </c>
      <c r="AA5" s="80" t="s">
        <v>73</v>
      </c>
      <c r="AB5" s="80" t="s">
        <v>110</v>
      </c>
    </row>
    <row r="6" spans="1:32">
      <c r="B6" s="74" t="s">
        <v>111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82">
        <v>0</v>
      </c>
      <c r="AE6" s="76" t="s">
        <v>112</v>
      </c>
      <c r="AF6" s="76" t="s">
        <v>113</v>
      </c>
    </row>
    <row r="7" spans="1:32">
      <c r="B7" s="74" t="s">
        <v>114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74">
        <v>0</v>
      </c>
      <c r="N7" s="74">
        <v>0</v>
      </c>
      <c r="O7" s="74">
        <v>0</v>
      </c>
      <c r="P7" s="74">
        <v>0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74">
        <v>0</v>
      </c>
      <c r="W7" s="74">
        <v>0</v>
      </c>
      <c r="X7" s="74">
        <v>0</v>
      </c>
      <c r="Y7" s="74">
        <v>0</v>
      </c>
      <c r="Z7" s="74">
        <v>0</v>
      </c>
      <c r="AA7" s="74">
        <v>0</v>
      </c>
      <c r="AB7" s="83">
        <v>4</v>
      </c>
      <c r="AE7" s="77" t="s">
        <v>13</v>
      </c>
      <c r="AF7" s="77">
        <v>933.33</v>
      </c>
    </row>
    <row r="8" spans="1:32">
      <c r="B8" s="74" t="s">
        <v>115</v>
      </c>
      <c r="C8" s="81">
        <v>17.28</v>
      </c>
      <c r="D8" s="81">
        <v>21.03</v>
      </c>
      <c r="E8" s="81">
        <v>15.94</v>
      </c>
      <c r="F8" s="81">
        <v>14.65</v>
      </c>
      <c r="G8" s="81">
        <v>17.39</v>
      </c>
      <c r="H8" s="81">
        <v>11</v>
      </c>
      <c r="I8" s="81">
        <v>1.8</v>
      </c>
      <c r="J8" s="81">
        <v>1.3884615384615</v>
      </c>
      <c r="K8" s="81">
        <v>7.9</v>
      </c>
      <c r="L8" s="81">
        <v>9.2</v>
      </c>
      <c r="M8" s="81">
        <v>8.6</v>
      </c>
      <c r="N8" s="81">
        <v>4.6</v>
      </c>
      <c r="O8" s="81">
        <v>1.1285714285714</v>
      </c>
      <c r="P8" s="81">
        <v>1.2</v>
      </c>
      <c r="Q8" s="81">
        <v>2.3</v>
      </c>
      <c r="R8" s="81">
        <v>0.85</v>
      </c>
      <c r="S8" s="81">
        <v>1.7</v>
      </c>
      <c r="T8" s="81">
        <v>4.7</v>
      </c>
      <c r="U8" s="81">
        <v>3</v>
      </c>
      <c r="V8" s="81">
        <v>2</v>
      </c>
      <c r="W8" s="81">
        <v>1.5</v>
      </c>
      <c r="X8" s="81">
        <v>14.5</v>
      </c>
      <c r="Y8" s="81">
        <v>2.25</v>
      </c>
      <c r="Z8" s="81">
        <v>14.02</v>
      </c>
      <c r="AA8" s="81">
        <v>5.01</v>
      </c>
      <c r="AB8" s="74"/>
    </row>
    <row r="9" spans="1:32">
      <c r="B9" s="79" t="s">
        <v>116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0</v>
      </c>
      <c r="X9" s="81">
        <v>0</v>
      </c>
      <c r="Y9" s="81">
        <v>0</v>
      </c>
      <c r="Z9" s="81">
        <v>0</v>
      </c>
      <c r="AA9" s="81">
        <v>0</v>
      </c>
      <c r="AB9" s="74"/>
    </row>
    <row r="10" spans="1:32">
      <c r="B10" s="74" t="s">
        <v>117</v>
      </c>
      <c r="C10" s="74">
        <v>20</v>
      </c>
      <c r="D10" s="74">
        <v>15</v>
      </c>
      <c r="E10" s="74">
        <v>10</v>
      </c>
      <c r="F10" s="74">
        <v>10</v>
      </c>
      <c r="G10" s="74">
        <v>10</v>
      </c>
      <c r="H10" s="74">
        <v>60</v>
      </c>
      <c r="I10" s="74">
        <v>150</v>
      </c>
      <c r="J10" s="74">
        <v>650</v>
      </c>
      <c r="K10" s="74">
        <v>15</v>
      </c>
      <c r="L10" s="74">
        <v>20</v>
      </c>
      <c r="M10" s="74">
        <v>20</v>
      </c>
      <c r="N10" s="74">
        <v>40</v>
      </c>
      <c r="O10" s="74">
        <v>350</v>
      </c>
      <c r="P10" s="74">
        <v>50</v>
      </c>
      <c r="Q10" s="74">
        <v>70</v>
      </c>
      <c r="R10" s="74">
        <v>150</v>
      </c>
      <c r="S10" s="74">
        <v>1000</v>
      </c>
      <c r="T10" s="74">
        <v>300</v>
      </c>
      <c r="U10" s="74">
        <v>100</v>
      </c>
      <c r="V10" s="74">
        <v>100</v>
      </c>
      <c r="W10" s="74">
        <v>100</v>
      </c>
      <c r="X10" s="74">
        <v>30</v>
      </c>
      <c r="Y10" s="74">
        <v>510</v>
      </c>
      <c r="Z10" s="74">
        <v>200</v>
      </c>
      <c r="AA10" s="74">
        <v>150</v>
      </c>
      <c r="AB10" s="74" t="str">
        <f>SUM(C10:AA10)</f>
        <v>0</v>
      </c>
    </row>
    <row r="11" spans="1:32">
      <c r="B11" s="74" t="s">
        <v>118</v>
      </c>
      <c r="C11" s="81" t="str">
        <f>C8*C10</f>
        <v>0</v>
      </c>
      <c r="D11" s="81" t="str">
        <f>D8*D10</f>
        <v>0</v>
      </c>
      <c r="E11" s="81" t="str">
        <f>E8*E10</f>
        <v>0</v>
      </c>
      <c r="F11" s="81" t="str">
        <f>F8*F10</f>
        <v>0</v>
      </c>
      <c r="G11" s="81" t="str">
        <f>G8*G10</f>
        <v>0</v>
      </c>
      <c r="H11" s="81" t="str">
        <f>H8*H10</f>
        <v>0</v>
      </c>
      <c r="I11" s="81" t="str">
        <f>I8*I10</f>
        <v>0</v>
      </c>
      <c r="J11" s="81" t="str">
        <f>J8*J10</f>
        <v>0</v>
      </c>
      <c r="K11" s="81" t="str">
        <f>K8*K10</f>
        <v>0</v>
      </c>
      <c r="L11" s="81" t="str">
        <f>L8*L10</f>
        <v>0</v>
      </c>
      <c r="M11" s="81" t="str">
        <f>M8*M10</f>
        <v>0</v>
      </c>
      <c r="N11" s="81" t="str">
        <f>N8*N10</f>
        <v>0</v>
      </c>
      <c r="O11" s="81" t="str">
        <f>O8*O10</f>
        <v>0</v>
      </c>
      <c r="P11" s="81" t="str">
        <f>P8*P10</f>
        <v>0</v>
      </c>
      <c r="Q11" s="81" t="str">
        <f>Q8*Q10</f>
        <v>0</v>
      </c>
      <c r="R11" s="81" t="str">
        <f>R8*R10</f>
        <v>0</v>
      </c>
      <c r="S11" s="81" t="str">
        <f>S8*S10</f>
        <v>0</v>
      </c>
      <c r="T11" s="81" t="str">
        <f>T8*T10</f>
        <v>0</v>
      </c>
      <c r="U11" s="81" t="str">
        <f>U8*U10</f>
        <v>0</v>
      </c>
      <c r="V11" s="81" t="str">
        <f>V8*V10</f>
        <v>0</v>
      </c>
      <c r="W11" s="81" t="str">
        <f>W8*W10</f>
        <v>0</v>
      </c>
      <c r="X11" s="81" t="str">
        <f>X8*X10</f>
        <v>0</v>
      </c>
      <c r="Y11" s="81" t="str">
        <f>Y8*Y10</f>
        <v>0</v>
      </c>
      <c r="Z11" s="81" t="str">
        <f>Z8*Z10</f>
        <v>0</v>
      </c>
      <c r="AA11" s="81" t="str">
        <f>AA8*AA10</f>
        <v>0</v>
      </c>
      <c r="AB11" s="86" t="str">
        <f>SUM(C11:AA11)</f>
        <v>0</v>
      </c>
    </row>
    <row r="12" spans="1:32">
      <c r="B12" s="79" t="s">
        <v>119</v>
      </c>
      <c r="C12" s="81" t="str">
        <f>C10*C9</f>
        <v>0</v>
      </c>
      <c r="D12" s="81" t="str">
        <f>D10*D9</f>
        <v>0</v>
      </c>
      <c r="E12" s="81" t="str">
        <f>E10*E9</f>
        <v>0</v>
      </c>
      <c r="F12" s="81" t="str">
        <f>F10*F9</f>
        <v>0</v>
      </c>
      <c r="G12" s="81" t="str">
        <f>G10*G9</f>
        <v>0</v>
      </c>
      <c r="H12" s="81" t="str">
        <f>H10*H9</f>
        <v>0</v>
      </c>
      <c r="I12" s="81" t="str">
        <f>I10*I9</f>
        <v>0</v>
      </c>
      <c r="J12" s="81" t="str">
        <f>J10*J9</f>
        <v>0</v>
      </c>
      <c r="K12" s="81" t="str">
        <f>K10*K9</f>
        <v>0</v>
      </c>
      <c r="L12" s="81" t="str">
        <f>L10*L9</f>
        <v>0</v>
      </c>
      <c r="M12" s="81" t="str">
        <f>M10*M9</f>
        <v>0</v>
      </c>
      <c r="N12" s="81" t="str">
        <f>N10*N9</f>
        <v>0</v>
      </c>
      <c r="O12" s="81" t="str">
        <f>O10*O9</f>
        <v>0</v>
      </c>
      <c r="P12" s="81" t="str">
        <f>P10*P9</f>
        <v>0</v>
      </c>
      <c r="Q12" s="81" t="str">
        <f>Q10*Q9</f>
        <v>0</v>
      </c>
      <c r="R12" s="81" t="str">
        <f>R10*R9</f>
        <v>0</v>
      </c>
      <c r="S12" s="81" t="str">
        <f>S10*S9</f>
        <v>0</v>
      </c>
      <c r="T12" s="81" t="str">
        <f>T10*T9</f>
        <v>0</v>
      </c>
      <c r="U12" s="81" t="str">
        <f>U10*U9</f>
        <v>0</v>
      </c>
      <c r="V12" s="81" t="str">
        <f>V10*V9</f>
        <v>0</v>
      </c>
      <c r="W12" s="81" t="str">
        <f>W10*W9</f>
        <v>0</v>
      </c>
      <c r="X12" s="81" t="str">
        <f>X10*X9</f>
        <v>0</v>
      </c>
      <c r="Y12" s="81" t="str">
        <f>Y10*Y9</f>
        <v>0</v>
      </c>
      <c r="Z12" s="81" t="str">
        <f>Z10*Z9</f>
        <v>0</v>
      </c>
      <c r="AA12" s="81" t="str">
        <f>AA10*AA9</f>
        <v>0</v>
      </c>
      <c r="AB12" s="86" t="str">
        <f>SUM(C12:AA12)</f>
        <v>0</v>
      </c>
    </row>
    <row r="13" spans="1:32">
      <c r="B13" s="74" t="s">
        <v>120</v>
      </c>
      <c r="C13" s="84" t="str">
        <f>C11/AB11</f>
        <v>0</v>
      </c>
      <c r="D13" s="84" t="str">
        <f>D11/AB11</f>
        <v>0</v>
      </c>
      <c r="E13" s="84" t="str">
        <f>E11/AB11</f>
        <v>0</v>
      </c>
      <c r="F13" s="84" t="str">
        <f>F11/AB11</f>
        <v>0</v>
      </c>
      <c r="G13" s="84" t="str">
        <f>G11/AB11</f>
        <v>0</v>
      </c>
      <c r="H13" s="84" t="str">
        <f>H11/AB11</f>
        <v>0</v>
      </c>
      <c r="I13" s="84" t="str">
        <f>I11/AB11</f>
        <v>0</v>
      </c>
      <c r="J13" s="84" t="str">
        <f>J11/AB11</f>
        <v>0</v>
      </c>
      <c r="K13" s="84" t="str">
        <f>K11/AB11</f>
        <v>0</v>
      </c>
      <c r="L13" s="84" t="str">
        <f>L11/AB11</f>
        <v>0</v>
      </c>
      <c r="M13" s="84" t="str">
        <f>M11/AB11</f>
        <v>0</v>
      </c>
      <c r="N13" s="84" t="str">
        <f>N11/AB11</f>
        <v>0</v>
      </c>
      <c r="O13" s="84" t="str">
        <f>O11/AB11</f>
        <v>0</v>
      </c>
      <c r="P13" s="84" t="str">
        <f>P11/AB11</f>
        <v>0</v>
      </c>
      <c r="Q13" s="84" t="str">
        <f>Q11/AB11</f>
        <v>0</v>
      </c>
      <c r="R13" s="84" t="str">
        <f>R11/AB11</f>
        <v>0</v>
      </c>
      <c r="S13" s="84" t="str">
        <f>S11/AB11</f>
        <v>0</v>
      </c>
      <c r="T13" s="84" t="str">
        <f>T11/AB11</f>
        <v>0</v>
      </c>
      <c r="U13" s="84" t="str">
        <f>U11/AB11</f>
        <v>0</v>
      </c>
      <c r="V13" s="84" t="str">
        <f>V11/AB11</f>
        <v>0</v>
      </c>
      <c r="W13" s="84" t="str">
        <f>W11/AB11</f>
        <v>0</v>
      </c>
      <c r="X13" s="84" t="str">
        <f>X11/AB11</f>
        <v>0</v>
      </c>
      <c r="Y13" s="84" t="str">
        <f>Y11/AB11</f>
        <v>0</v>
      </c>
      <c r="Z13" s="84" t="str">
        <f>Z11/AB11</f>
        <v>0</v>
      </c>
      <c r="AA13" s="84" t="str">
        <f>AA11/AB11</f>
        <v>0</v>
      </c>
      <c r="AB13" s="74"/>
    </row>
    <row r="14" spans="1:32">
      <c r="B14" s="74" t="s">
        <v>121</v>
      </c>
      <c r="C14" s="81" t="str">
        <f>ROUNDUP(AB14*C13,2)</f>
        <v>0</v>
      </c>
      <c r="D14" s="81" t="str">
        <f>ROUNDUP(AB14*D13,2)</f>
        <v>0</v>
      </c>
      <c r="E14" s="81" t="str">
        <f>ROUNDUP(AB14*E13,2)</f>
        <v>0</v>
      </c>
      <c r="F14" s="81" t="str">
        <f>ROUNDUP(AB14*F13,2)</f>
        <v>0</v>
      </c>
      <c r="G14" s="81" t="str">
        <f>ROUNDUP(AB14*G13,2)</f>
        <v>0</v>
      </c>
      <c r="H14" s="81" t="str">
        <f>ROUNDUP(AB14*H13,2)</f>
        <v>0</v>
      </c>
      <c r="I14" s="81" t="str">
        <f>ROUNDUP(AB14*I13,2)</f>
        <v>0</v>
      </c>
      <c r="J14" s="81" t="str">
        <f>ROUNDUP(AB14*J13,2)</f>
        <v>0</v>
      </c>
      <c r="K14" s="81" t="str">
        <f>ROUNDUP(AB14*K13,2)</f>
        <v>0</v>
      </c>
      <c r="L14" s="81" t="str">
        <f>ROUNDUP(AB14*L13,2)</f>
        <v>0</v>
      </c>
      <c r="M14" s="81" t="str">
        <f>ROUNDUP(AB14*M13,2)</f>
        <v>0</v>
      </c>
      <c r="N14" s="81" t="str">
        <f>ROUNDUP(AB14*N13,2)</f>
        <v>0</v>
      </c>
      <c r="O14" s="81" t="str">
        <f>ROUNDUP(AB14*O13,2)</f>
        <v>0</v>
      </c>
      <c r="P14" s="81" t="str">
        <f>ROUNDUP(AB14*P13,2)</f>
        <v>0</v>
      </c>
      <c r="Q14" s="81" t="str">
        <f>ROUNDUP(AB14*Q13,2)</f>
        <v>0</v>
      </c>
      <c r="R14" s="81" t="str">
        <f>ROUNDUP(AB14*R13,2)</f>
        <v>0</v>
      </c>
      <c r="S14" s="81" t="str">
        <f>ROUNDUP(AB14*S13,2)</f>
        <v>0</v>
      </c>
      <c r="T14" s="81" t="str">
        <f>ROUNDUP(AB14*T13,2)</f>
        <v>0</v>
      </c>
      <c r="U14" s="81" t="str">
        <f>ROUNDUP(AB14*U13,2)</f>
        <v>0</v>
      </c>
      <c r="V14" s="81" t="str">
        <f>ROUNDUP(AB14*V13,2)</f>
        <v>0</v>
      </c>
      <c r="W14" s="81" t="str">
        <f>ROUNDUP(AB14*W13,2)</f>
        <v>0</v>
      </c>
      <c r="X14" s="81" t="str">
        <f>ROUNDUP(AB14*X13,2)</f>
        <v>0</v>
      </c>
      <c r="Y14" s="81" t="str">
        <f>ROUNDUP(AB14*Y13,2)</f>
        <v>0</v>
      </c>
      <c r="Z14" s="81" t="str">
        <f>ROUNDUP(AB14*Z13,2)</f>
        <v>0</v>
      </c>
      <c r="AA14" s="81" t="str">
        <f>ROUNDUP(AB14*AA13,2)</f>
        <v>0</v>
      </c>
      <c r="AB14" s="86" t="str">
        <f>IF(AB7&lt;1, ROUNDUP(AF7*0.6, 0), ROUNDUP(AF7*0.6*AB7, 0))</f>
        <v>0</v>
      </c>
    </row>
    <row r="15" spans="1:32">
      <c r="B15" s="74" t="s">
        <v>122</v>
      </c>
      <c r="C15" s="81" t="str">
        <f>ROUNDUP(C11+C14,2)</f>
        <v>0</v>
      </c>
      <c r="D15" s="81" t="str">
        <f>ROUNDUP(D11+D14,2)</f>
        <v>0</v>
      </c>
      <c r="E15" s="81" t="str">
        <f>ROUNDUP(E11+E14,2)</f>
        <v>0</v>
      </c>
      <c r="F15" s="81" t="str">
        <f>ROUNDUP(F11+F14,2)</f>
        <v>0</v>
      </c>
      <c r="G15" s="81" t="str">
        <f>ROUNDUP(G11+G14,2)</f>
        <v>0</v>
      </c>
      <c r="H15" s="81" t="str">
        <f>ROUNDUP(H11+H14,2)</f>
        <v>0</v>
      </c>
      <c r="I15" s="81" t="str">
        <f>ROUNDUP(I11+I14,2)</f>
        <v>0</v>
      </c>
      <c r="J15" s="81" t="str">
        <f>ROUNDUP(J11+J14,2)</f>
        <v>0</v>
      </c>
      <c r="K15" s="81" t="str">
        <f>ROUNDUP(K11+K14,2)</f>
        <v>0</v>
      </c>
      <c r="L15" s="81" t="str">
        <f>ROUNDUP(L11+L14,2)</f>
        <v>0</v>
      </c>
      <c r="M15" s="81" t="str">
        <f>ROUNDUP(M11+M14,2)</f>
        <v>0</v>
      </c>
      <c r="N15" s="81" t="str">
        <f>ROUNDUP(N11+N14,2)</f>
        <v>0</v>
      </c>
      <c r="O15" s="81" t="str">
        <f>ROUNDUP(O11+O14,2)</f>
        <v>0</v>
      </c>
      <c r="P15" s="81" t="str">
        <f>ROUNDUP(P11+P14,2)</f>
        <v>0</v>
      </c>
      <c r="Q15" s="81" t="str">
        <f>ROUNDUP(Q11+Q14,2)</f>
        <v>0</v>
      </c>
      <c r="R15" s="81" t="str">
        <f>ROUNDUP(R11+R14,2)</f>
        <v>0</v>
      </c>
      <c r="S15" s="81" t="str">
        <f>ROUNDUP(S11+S14,2)</f>
        <v>0</v>
      </c>
      <c r="T15" s="81" t="str">
        <f>ROUNDUP(T11+T14,2)</f>
        <v>0</v>
      </c>
      <c r="U15" s="81" t="str">
        <f>ROUNDUP(U11+U14,2)</f>
        <v>0</v>
      </c>
      <c r="V15" s="81" t="str">
        <f>ROUNDUP(V11+V14,2)</f>
        <v>0</v>
      </c>
      <c r="W15" s="81" t="str">
        <f>ROUNDUP(W11+W14,2)</f>
        <v>0</v>
      </c>
      <c r="X15" s="81" t="str">
        <f>ROUNDUP(X11+X14,2)</f>
        <v>0</v>
      </c>
      <c r="Y15" s="81" t="str">
        <f>ROUNDUP(Y11+Y14,2)</f>
        <v>0</v>
      </c>
      <c r="Z15" s="81" t="str">
        <f>ROUNDUP(Z11+Z14,2)</f>
        <v>0</v>
      </c>
      <c r="AA15" s="81" t="str">
        <f>ROUNDUP(AA11+AA14,2)</f>
        <v>0</v>
      </c>
      <c r="AB15" s="86" t="str">
        <f>SUM(C15:AA15)</f>
        <v>0</v>
      </c>
    </row>
    <row r="16" spans="1:32">
      <c r="B16" s="79" t="s">
        <v>123</v>
      </c>
      <c r="C16" s="81" t="str">
        <f>ROUNDUP(C12+C14,2)</f>
        <v>0</v>
      </c>
      <c r="D16" s="81" t="str">
        <f>ROUNDUP(D12+D14,2)</f>
        <v>0</v>
      </c>
      <c r="E16" s="81" t="str">
        <f>ROUNDUP(E12+E14,2)</f>
        <v>0</v>
      </c>
      <c r="F16" s="81" t="str">
        <f>ROUNDUP(F12+F14,2)</f>
        <v>0</v>
      </c>
      <c r="G16" s="81" t="str">
        <f>ROUNDUP(G12+G14,2)</f>
        <v>0</v>
      </c>
      <c r="H16" s="81" t="str">
        <f>ROUNDUP(H12+H14,2)</f>
        <v>0</v>
      </c>
      <c r="I16" s="81" t="str">
        <f>ROUNDUP(I12+I14,2)</f>
        <v>0</v>
      </c>
      <c r="J16" s="81" t="str">
        <f>ROUNDUP(J12+J14,2)</f>
        <v>0</v>
      </c>
      <c r="K16" s="81" t="str">
        <f>ROUNDUP(K12+K14,2)</f>
        <v>0</v>
      </c>
      <c r="L16" s="81" t="str">
        <f>ROUNDUP(L12+L14,2)</f>
        <v>0</v>
      </c>
      <c r="M16" s="81" t="str">
        <f>ROUNDUP(M12+M14,2)</f>
        <v>0</v>
      </c>
      <c r="N16" s="81" t="str">
        <f>ROUNDUP(N12+N14,2)</f>
        <v>0</v>
      </c>
      <c r="O16" s="81" t="str">
        <f>ROUNDUP(O12+O14,2)</f>
        <v>0</v>
      </c>
      <c r="P16" s="81" t="str">
        <f>ROUNDUP(P12+P14,2)</f>
        <v>0</v>
      </c>
      <c r="Q16" s="81" t="str">
        <f>ROUNDUP(Q12+Q14,2)</f>
        <v>0</v>
      </c>
      <c r="R16" s="81" t="str">
        <f>ROUNDUP(R12+R14,2)</f>
        <v>0</v>
      </c>
      <c r="S16" s="81" t="str">
        <f>ROUNDUP(S12+S14,2)</f>
        <v>0</v>
      </c>
      <c r="T16" s="81" t="str">
        <f>ROUNDUP(T12+T14,2)</f>
        <v>0</v>
      </c>
      <c r="U16" s="81" t="str">
        <f>ROUNDUP(U12+U14,2)</f>
        <v>0</v>
      </c>
      <c r="V16" s="81" t="str">
        <f>ROUNDUP(V12+V14,2)</f>
        <v>0</v>
      </c>
      <c r="W16" s="81" t="str">
        <f>ROUNDUP(W12+W14,2)</f>
        <v>0</v>
      </c>
      <c r="X16" s="81" t="str">
        <f>ROUNDUP(X12+X14,2)</f>
        <v>0</v>
      </c>
      <c r="Y16" s="81" t="str">
        <f>ROUNDUP(Y12+Y14,2)</f>
        <v>0</v>
      </c>
      <c r="Z16" s="81" t="str">
        <f>ROUNDUP(Z12+Z14,2)</f>
        <v>0</v>
      </c>
      <c r="AA16" s="81" t="str">
        <f>ROUNDUP(AA12+AA14,2)</f>
        <v>0</v>
      </c>
      <c r="AB16" s="86" t="str">
        <f>SUM(C16:AA16)</f>
        <v>0</v>
      </c>
    </row>
    <row r="17" spans="1:32">
      <c r="B17" s="74" t="s">
        <v>124</v>
      </c>
      <c r="C17" s="81" t="str">
        <f>IF(AB15&gt;5000,ROUND(100*C13,2),ROUND(50*C13,2))</f>
        <v>0</v>
      </c>
      <c r="D17" s="81" t="str">
        <f>IF(AB15&gt;5000,ROUND(100*D13,2),ROUND(50*D13,2))</f>
        <v>0</v>
      </c>
      <c r="E17" s="81" t="str">
        <f>IF(AB15&gt;5000,ROUND(100*E13,2),ROUND(50*E13,2))</f>
        <v>0</v>
      </c>
      <c r="F17" s="81" t="str">
        <f>IF(AB15&gt;5000,ROUND(100*F13,2),ROUND(50*F13,2))</f>
        <v>0</v>
      </c>
      <c r="G17" s="81" t="str">
        <f>IF(AB15&gt;5000,ROUND(100*G13,2),ROUND(50*G13,2))</f>
        <v>0</v>
      </c>
      <c r="H17" s="81" t="str">
        <f>IF(AB15&gt;5000,ROUND(100*H13,2),ROUND(50*H13,2))</f>
        <v>0</v>
      </c>
      <c r="I17" s="81" t="str">
        <f>IF(AB15&gt;5000,ROUND(100*I13,2),ROUND(50*I13,2))</f>
        <v>0</v>
      </c>
      <c r="J17" s="81" t="str">
        <f>IF(AB15&gt;5000,ROUND(100*J13,2),ROUND(50*J13,2))</f>
        <v>0</v>
      </c>
      <c r="K17" s="81" t="str">
        <f>IF(AB15&gt;5000,ROUND(100*K13,2),ROUND(50*K13,2))</f>
        <v>0</v>
      </c>
      <c r="L17" s="81" t="str">
        <f>IF(AB15&gt;5000,ROUND(100*L13,2),ROUND(50*L13,2))</f>
        <v>0</v>
      </c>
      <c r="M17" s="81" t="str">
        <f>IF(AB15&gt;5000,ROUND(100*M13,2),ROUND(50*M13,2))</f>
        <v>0</v>
      </c>
      <c r="N17" s="81" t="str">
        <f>IF(AB15&gt;5000,ROUND(100*N13,2),ROUND(50*N13,2))</f>
        <v>0</v>
      </c>
      <c r="O17" s="81" t="str">
        <f>IF(AB15&gt;5000,ROUND(100*O13,2),ROUND(50*O13,2))</f>
        <v>0</v>
      </c>
      <c r="P17" s="81" t="str">
        <f>IF(AB15&gt;5000,ROUND(100*P13,2),ROUND(50*P13,2))</f>
        <v>0</v>
      </c>
      <c r="Q17" s="81" t="str">
        <f>IF(AB15&gt;5000,ROUND(100*Q13,2),ROUND(50*Q13,2))</f>
        <v>0</v>
      </c>
      <c r="R17" s="81" t="str">
        <f>IF(AB15&gt;5000,ROUND(100*R13,2),ROUND(50*R13,2))</f>
        <v>0</v>
      </c>
      <c r="S17" s="81" t="str">
        <f>IF(AB15&gt;5000,ROUND(100*S13,2),ROUND(50*S13,2))</f>
        <v>0</v>
      </c>
      <c r="T17" s="81" t="str">
        <f>IF(AB15&gt;5000,ROUND(100*T13,2),ROUND(50*T13,2))</f>
        <v>0</v>
      </c>
      <c r="U17" s="81" t="str">
        <f>IF(AB15&gt;5000,ROUND(100*U13,2),ROUND(50*U13,2))</f>
        <v>0</v>
      </c>
      <c r="V17" s="81" t="str">
        <f>IF(AB15&gt;5000,ROUND(100*V13,2),ROUND(50*V13,2))</f>
        <v>0</v>
      </c>
      <c r="W17" s="81" t="str">
        <f>IF(AB15&gt;5000,ROUND(100*W13,2),ROUND(50*W13,2))</f>
        <v>0</v>
      </c>
      <c r="X17" s="81" t="str">
        <f>IF(AB15&gt;5000,ROUND(100*X13,2),ROUND(50*X13,2))</f>
        <v>0</v>
      </c>
      <c r="Y17" s="81" t="str">
        <f>IF(AB15&gt;5000,ROUND(100*Y13,2),ROUND(50*Y13,2))</f>
        <v>0</v>
      </c>
      <c r="Z17" s="81" t="str">
        <f>IF(AB15&gt;5000,ROUND(100*Z13,2),ROUND(50*Z13,2))</f>
        <v>0</v>
      </c>
      <c r="AA17" s="81" t="str">
        <f>IF(AB15&gt;5000,ROUND(100*AA13,2),ROUND(50*AA13,2))</f>
        <v>0</v>
      </c>
      <c r="AB17" s="86" t="str">
        <f>SUM(C17:AA17)</f>
        <v>0</v>
      </c>
    </row>
    <row r="18" spans="1:32">
      <c r="B18" s="74" t="s">
        <v>125</v>
      </c>
      <c r="C18" s="81" t="str">
        <f>ROUNDUP(C15+C17,2)</f>
        <v>0</v>
      </c>
      <c r="D18" s="81" t="str">
        <f>ROUNDUP(D15+D17,2)</f>
        <v>0</v>
      </c>
      <c r="E18" s="81" t="str">
        <f>ROUNDUP(E15+E17,2)</f>
        <v>0</v>
      </c>
      <c r="F18" s="81" t="str">
        <f>ROUNDUP(F15+F17,2)</f>
        <v>0</v>
      </c>
      <c r="G18" s="81" t="str">
        <f>ROUNDUP(G15+G17,2)</f>
        <v>0</v>
      </c>
      <c r="H18" s="81" t="str">
        <f>ROUNDUP(H15+H17,2)</f>
        <v>0</v>
      </c>
      <c r="I18" s="81" t="str">
        <f>ROUNDUP(I15+I17,2)</f>
        <v>0</v>
      </c>
      <c r="J18" s="81" t="str">
        <f>ROUNDUP(J15+J17,2)</f>
        <v>0</v>
      </c>
      <c r="K18" s="81" t="str">
        <f>ROUNDUP(K15+K17,2)</f>
        <v>0</v>
      </c>
      <c r="L18" s="81" t="str">
        <f>ROUNDUP(L15+L17,2)</f>
        <v>0</v>
      </c>
      <c r="M18" s="81" t="str">
        <f>ROUNDUP(M15+M17,2)</f>
        <v>0</v>
      </c>
      <c r="N18" s="81" t="str">
        <f>ROUNDUP(N15+N17,2)</f>
        <v>0</v>
      </c>
      <c r="O18" s="81" t="str">
        <f>ROUNDUP(O15+O17,2)</f>
        <v>0</v>
      </c>
      <c r="P18" s="81" t="str">
        <f>ROUNDUP(P15+P17,2)</f>
        <v>0</v>
      </c>
      <c r="Q18" s="81" t="str">
        <f>ROUNDUP(Q15+Q17,2)</f>
        <v>0</v>
      </c>
      <c r="R18" s="81" t="str">
        <f>ROUNDUP(R15+R17,2)</f>
        <v>0</v>
      </c>
      <c r="S18" s="81" t="str">
        <f>ROUNDUP(S15+S17,2)</f>
        <v>0</v>
      </c>
      <c r="T18" s="81" t="str">
        <f>ROUNDUP(T15+T17,2)</f>
        <v>0</v>
      </c>
      <c r="U18" s="81" t="str">
        <f>ROUNDUP(U15+U17,2)</f>
        <v>0</v>
      </c>
      <c r="V18" s="81" t="str">
        <f>ROUNDUP(V15+V17,2)</f>
        <v>0</v>
      </c>
      <c r="W18" s="81" t="str">
        <f>ROUNDUP(W15+W17,2)</f>
        <v>0</v>
      </c>
      <c r="X18" s="81" t="str">
        <f>ROUNDUP(X15+X17,2)</f>
        <v>0</v>
      </c>
      <c r="Y18" s="81" t="str">
        <f>ROUNDUP(Y15+Y17,2)</f>
        <v>0</v>
      </c>
      <c r="Z18" s="81" t="str">
        <f>ROUNDUP(Z15+Z17,2)</f>
        <v>0</v>
      </c>
      <c r="AA18" s="81" t="str">
        <f>ROUNDUP(AA15+AA17,2)</f>
        <v>0</v>
      </c>
      <c r="AB18" s="86" t="str">
        <f>SUM(C18:AA18)</f>
        <v>0</v>
      </c>
    </row>
    <row r="19" spans="1:32">
      <c r="B19" s="79" t="s">
        <v>126</v>
      </c>
      <c r="C19" s="81" t="str">
        <f>ROUNDUP(C16+C17,2)</f>
        <v>0</v>
      </c>
      <c r="D19" s="81" t="str">
        <f>ROUNDUP(D16+D17,2)</f>
        <v>0</v>
      </c>
      <c r="E19" s="81" t="str">
        <f>ROUNDUP(E16+E17,2)</f>
        <v>0</v>
      </c>
      <c r="F19" s="81" t="str">
        <f>ROUNDUP(F16+F17,2)</f>
        <v>0</v>
      </c>
      <c r="G19" s="81" t="str">
        <f>ROUNDUP(G16+G17,2)</f>
        <v>0</v>
      </c>
      <c r="H19" s="81" t="str">
        <f>ROUNDUP(H16+H17,2)</f>
        <v>0</v>
      </c>
      <c r="I19" s="81" t="str">
        <f>ROUNDUP(I16+I17,2)</f>
        <v>0</v>
      </c>
      <c r="J19" s="81" t="str">
        <f>ROUNDUP(J16+J17,2)</f>
        <v>0</v>
      </c>
      <c r="K19" s="81" t="str">
        <f>ROUNDUP(K16+K17,2)</f>
        <v>0</v>
      </c>
      <c r="L19" s="81" t="str">
        <f>ROUNDUP(L16+L17,2)</f>
        <v>0</v>
      </c>
      <c r="M19" s="81" t="str">
        <f>ROUNDUP(M16+M17,2)</f>
        <v>0</v>
      </c>
      <c r="N19" s="81" t="str">
        <f>ROUNDUP(N16+N17,2)</f>
        <v>0</v>
      </c>
      <c r="O19" s="81" t="str">
        <f>ROUNDUP(O16+O17,2)</f>
        <v>0</v>
      </c>
      <c r="P19" s="81" t="str">
        <f>ROUNDUP(P16+P17,2)</f>
        <v>0</v>
      </c>
      <c r="Q19" s="81" t="str">
        <f>ROUNDUP(Q16+Q17,2)</f>
        <v>0</v>
      </c>
      <c r="R19" s="81" t="str">
        <f>ROUNDUP(R16+R17,2)</f>
        <v>0</v>
      </c>
      <c r="S19" s="81" t="str">
        <f>ROUNDUP(S16+S17,2)</f>
        <v>0</v>
      </c>
      <c r="T19" s="81" t="str">
        <f>ROUNDUP(T16+T17,2)</f>
        <v>0</v>
      </c>
      <c r="U19" s="81" t="str">
        <f>ROUNDUP(U16+U17,2)</f>
        <v>0</v>
      </c>
      <c r="V19" s="81" t="str">
        <f>ROUNDUP(V16+V17,2)</f>
        <v>0</v>
      </c>
      <c r="W19" s="81" t="str">
        <f>ROUNDUP(W16+W17,2)</f>
        <v>0</v>
      </c>
      <c r="X19" s="81" t="str">
        <f>ROUNDUP(X16+X17,2)</f>
        <v>0</v>
      </c>
      <c r="Y19" s="81" t="str">
        <f>ROUNDUP(Y16+Y17,2)</f>
        <v>0</v>
      </c>
      <c r="Z19" s="81" t="str">
        <f>ROUNDUP(Z16+Z17,2)</f>
        <v>0</v>
      </c>
      <c r="AA19" s="81" t="str">
        <f>ROUNDUP(AA16+AA17,2)</f>
        <v>0</v>
      </c>
      <c r="AB19" s="86" t="str">
        <f>SUM(C19:AA19)</f>
        <v>0</v>
      </c>
    </row>
    <row r="23" spans="1:32">
      <c r="B23" s="75" t="s">
        <v>127</v>
      </c>
      <c r="C23" s="74"/>
      <c r="D23" s="74"/>
      <c r="E23" s="74"/>
    </row>
    <row r="26" spans="1:32">
      <c r="B26" s="74" t="s">
        <v>128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0</v>
      </c>
      <c r="Y26" s="81">
        <v>0</v>
      </c>
      <c r="Z26" s="81">
        <v>0</v>
      </c>
      <c r="AA26" s="81">
        <v>0</v>
      </c>
      <c r="AB26" s="81" t="str">
        <f>SUM(C26:AA26)</f>
        <v>0</v>
      </c>
    </row>
    <row r="27" spans="1:32"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7">
        <v>0</v>
      </c>
      <c r="Y27" s="87">
        <v>0</v>
      </c>
      <c r="Z27" s="87">
        <v>0</v>
      </c>
      <c r="AA27" s="87">
        <v>0</v>
      </c>
      <c r="AB27" s="84" t="str">
        <f>SUM(C27:AA27)</f>
        <v>0</v>
      </c>
    </row>
    <row r="28" spans="1:32">
      <c r="B28" s="74" t="s">
        <v>129</v>
      </c>
      <c r="C28" s="81" t="str">
        <f>MAX(C19,C18)*C27</f>
        <v>0</v>
      </c>
      <c r="D28" s="81" t="str">
        <f>MAX(D19,D18)*D27</f>
        <v>0</v>
      </c>
      <c r="E28" s="81" t="str">
        <f>MAX(E19,E18)*E27</f>
        <v>0</v>
      </c>
      <c r="F28" s="81" t="str">
        <f>MAX(F19,F18)*F27</f>
        <v>0</v>
      </c>
      <c r="G28" s="81" t="str">
        <f>MAX(G19,G18)*G27</f>
        <v>0</v>
      </c>
      <c r="H28" s="81" t="str">
        <f>MAX(H19,H18)*H27</f>
        <v>0</v>
      </c>
      <c r="I28" s="81" t="str">
        <f>MAX(I19,I18)*I27</f>
        <v>0</v>
      </c>
      <c r="J28" s="81" t="str">
        <f>MAX(J19,J18)*J27</f>
        <v>0</v>
      </c>
      <c r="K28" s="81" t="str">
        <f>MAX(K19,K18)*K27</f>
        <v>0</v>
      </c>
      <c r="L28" s="81" t="str">
        <f>MAX(L19,L18)*L27</f>
        <v>0</v>
      </c>
      <c r="M28" s="81" t="str">
        <f>MAX(M19,M18)*M27</f>
        <v>0</v>
      </c>
      <c r="N28" s="81" t="str">
        <f>MAX(N19,N18)*N27</f>
        <v>0</v>
      </c>
      <c r="O28" s="81" t="str">
        <f>MAX(O19,O18)*O27</f>
        <v>0</v>
      </c>
      <c r="P28" s="81" t="str">
        <f>MAX(P19,P18)*P27</f>
        <v>0</v>
      </c>
      <c r="Q28" s="81" t="str">
        <f>MAX(Q19,Q18)*Q27</f>
        <v>0</v>
      </c>
      <c r="R28" s="81" t="str">
        <f>MAX(R19,R18)*R27</f>
        <v>0</v>
      </c>
      <c r="S28" s="81" t="str">
        <f>MAX(S19,S18)*S27</f>
        <v>0</v>
      </c>
      <c r="T28" s="81" t="str">
        <f>MAX(T19,T18)*T27</f>
        <v>0</v>
      </c>
      <c r="U28" s="81" t="str">
        <f>MAX(U19,U18)*U27</f>
        <v>0</v>
      </c>
      <c r="V28" s="81" t="str">
        <f>MAX(V19,V18)*V27</f>
        <v>0</v>
      </c>
      <c r="W28" s="81" t="str">
        <f>MAX(W19,W18)*W27</f>
        <v>0</v>
      </c>
      <c r="X28" s="81" t="str">
        <f>MAX(X19,X18)*X27</f>
        <v>0</v>
      </c>
      <c r="Y28" s="81" t="str">
        <f>MAX(Y19,Y18)*Y27</f>
        <v>0</v>
      </c>
      <c r="Z28" s="81" t="str">
        <f>MAX(Z19,Z18)*Z27</f>
        <v>0</v>
      </c>
      <c r="AA28" s="81" t="str">
        <f>MAX(AA19,AA18)*AA27</f>
        <v>0</v>
      </c>
      <c r="AB28" s="81" t="str">
        <f>SUM(C28:AA28)</f>
        <v>0</v>
      </c>
    </row>
    <row r="29" spans="1:32">
      <c r="B29" s="74" t="s">
        <v>31</v>
      </c>
      <c r="C29" s="81" t="str">
        <f>0.16*(MAX(C19,C18)+C28)</f>
        <v>0</v>
      </c>
      <c r="D29" s="81" t="str">
        <f>0.16*(MAX(D19,D18)+D28)</f>
        <v>0</v>
      </c>
      <c r="E29" s="81" t="str">
        <f>0.16*(MAX(E19,E18)+E28)</f>
        <v>0</v>
      </c>
      <c r="F29" s="81" t="str">
        <f>0.16*(MAX(F19,F18)+F28)</f>
        <v>0</v>
      </c>
      <c r="G29" s="81" t="str">
        <f>0.16*(MAX(G19,G18)+G28)</f>
        <v>0</v>
      </c>
      <c r="H29" s="81" t="str">
        <f>0.16*(MAX(H19,H18)+H28)</f>
        <v>0</v>
      </c>
      <c r="I29" s="81" t="str">
        <f>0.16*(MAX(I19,I18)+I28)</f>
        <v>0</v>
      </c>
      <c r="J29" s="81" t="str">
        <f>0.16*(MAX(J19,J18)+J28)</f>
        <v>0</v>
      </c>
      <c r="K29" s="81" t="str">
        <f>0.16*(MAX(K19,K18)+K28)</f>
        <v>0</v>
      </c>
      <c r="L29" s="81" t="str">
        <f>0.16*(MAX(L19,L18)+L28)</f>
        <v>0</v>
      </c>
      <c r="M29" s="81" t="str">
        <f>0.16*(MAX(M19,M18)+M28)</f>
        <v>0</v>
      </c>
      <c r="N29" s="81" t="str">
        <f>0.16*(MAX(N19,N18)+N28)</f>
        <v>0</v>
      </c>
      <c r="O29" s="81" t="str">
        <f>0.16*(MAX(O19,O18)+O28)</f>
        <v>0</v>
      </c>
      <c r="P29" s="81" t="str">
        <f>0.16*(MAX(P19,P18)+P28)</f>
        <v>0</v>
      </c>
      <c r="Q29" s="81" t="str">
        <f>0.16*(MAX(Q19,Q18)+Q28)</f>
        <v>0</v>
      </c>
      <c r="R29" s="81" t="str">
        <f>0.16*(MAX(R19,R18)+R28)</f>
        <v>0</v>
      </c>
      <c r="S29" s="81" t="str">
        <f>0.16*(MAX(S19,S18)+S28)</f>
        <v>0</v>
      </c>
      <c r="T29" s="81" t="str">
        <f>0.16*(MAX(T19,T18)+T28)</f>
        <v>0</v>
      </c>
      <c r="U29" s="81" t="str">
        <f>0.16*(MAX(U19,U18)+U28)</f>
        <v>0</v>
      </c>
      <c r="V29" s="81" t="str">
        <f>0.16*(MAX(V19,V18)+V28)</f>
        <v>0</v>
      </c>
      <c r="W29" s="81" t="str">
        <f>0.16*(MAX(W19,W18)+W28)</f>
        <v>0</v>
      </c>
      <c r="X29" s="81" t="str">
        <f>0.16*(MAX(X19,X18)+X28)</f>
        <v>0</v>
      </c>
      <c r="Y29" s="81" t="str">
        <f>0.16*(MAX(Y19,Y18)+Y28)</f>
        <v>0</v>
      </c>
      <c r="Z29" s="81" t="str">
        <f>0.16*(MAX(Z19,Z18)+Z28)</f>
        <v>0</v>
      </c>
      <c r="AA29" s="81" t="str">
        <f>0.16*(MAX(AA19,AA18)+AA28)</f>
        <v>0</v>
      </c>
      <c r="AB29" s="81" t="str">
        <f>SUM(C29:AA29)</f>
        <v>0</v>
      </c>
    </row>
    <row r="30" spans="1:32">
      <c r="B30" s="74" t="s">
        <v>32</v>
      </c>
      <c r="C30" s="81" t="str">
        <f>0.02*(MAX(C19,C18)+C28)</f>
        <v>0</v>
      </c>
      <c r="D30" s="81" t="str">
        <f>0.02*(MAX(D19,D18)+D28)</f>
        <v>0</v>
      </c>
      <c r="E30" s="81" t="str">
        <f>0.02*(MAX(E19,E18)+E28)</f>
        <v>0</v>
      </c>
      <c r="F30" s="81" t="str">
        <f>0.02*(MAX(F19,F18)+F28)</f>
        <v>0</v>
      </c>
      <c r="G30" s="81" t="str">
        <f>0.02*(MAX(G19,G18)+G28)</f>
        <v>0</v>
      </c>
      <c r="H30" s="81" t="str">
        <f>0.02*(MAX(H19,H18)+H28)</f>
        <v>0</v>
      </c>
      <c r="I30" s="81" t="str">
        <f>0.02*(MAX(I19,I18)+I28)</f>
        <v>0</v>
      </c>
      <c r="J30" s="81" t="str">
        <f>0.02*(MAX(J19,J18)+J28)</f>
        <v>0</v>
      </c>
      <c r="K30" s="81" t="str">
        <f>0.02*(MAX(K19,K18)+K28)</f>
        <v>0</v>
      </c>
      <c r="L30" s="81" t="str">
        <f>0.02*(MAX(L19,L18)+L28)</f>
        <v>0</v>
      </c>
      <c r="M30" s="81" t="str">
        <f>0.02*(MAX(M19,M18)+M28)</f>
        <v>0</v>
      </c>
      <c r="N30" s="81" t="str">
        <f>0.02*(MAX(N19,N18)+N28)</f>
        <v>0</v>
      </c>
      <c r="O30" s="81" t="str">
        <f>0.02*(MAX(O19,O18)+O28)</f>
        <v>0</v>
      </c>
      <c r="P30" s="81" t="str">
        <f>0.02*(MAX(P19,P18)+P28)</f>
        <v>0</v>
      </c>
      <c r="Q30" s="81" t="str">
        <f>0.02*(MAX(Q19,Q18)+Q28)</f>
        <v>0</v>
      </c>
      <c r="R30" s="81" t="str">
        <f>0.02*(MAX(R19,R18)+R28)</f>
        <v>0</v>
      </c>
      <c r="S30" s="81" t="str">
        <f>0.02*(MAX(S19,S18)+S28)</f>
        <v>0</v>
      </c>
      <c r="T30" s="81" t="str">
        <f>0.02*(MAX(T19,T18)+T28)</f>
        <v>0</v>
      </c>
      <c r="U30" s="81" t="str">
        <f>0.02*(MAX(U19,U18)+U28)</f>
        <v>0</v>
      </c>
      <c r="V30" s="81" t="str">
        <f>0.02*(MAX(V19,V18)+V28)</f>
        <v>0</v>
      </c>
      <c r="W30" s="81" t="str">
        <f>0.02*(MAX(W19,W18)+W28)</f>
        <v>0</v>
      </c>
      <c r="X30" s="81" t="str">
        <f>0.02*(MAX(X19,X18)+X28)</f>
        <v>0</v>
      </c>
      <c r="Y30" s="81" t="str">
        <f>0.02*(MAX(Y19,Y18)+Y28)</f>
        <v>0</v>
      </c>
      <c r="Z30" s="81" t="str">
        <f>0.02*(MAX(Z19,Z18)+Z28)</f>
        <v>0</v>
      </c>
      <c r="AA30" s="81" t="str">
        <f>0.02*(MAX(AA19,AA18)+AA28)</f>
        <v>0</v>
      </c>
      <c r="AB30" s="81" t="str">
        <f>SUM(C30:AA30)</f>
        <v>0</v>
      </c>
    </row>
    <row r="31" spans="1:32">
      <c r="B31" s="74" t="s">
        <v>130</v>
      </c>
      <c r="C31" s="81" t="str">
        <f>0.035*(MAX(C18,C19) +C28+C29+C30)</f>
        <v>0</v>
      </c>
      <c r="D31" s="81" t="str">
        <f>0.035*(MAX(D18,D19) +D28+D29+D30)</f>
        <v>0</v>
      </c>
      <c r="E31" s="81" t="str">
        <f>0.035*(MAX(E18,E19) +E28+E29+E30)</f>
        <v>0</v>
      </c>
      <c r="F31" s="81" t="str">
        <f>0.035*(MAX(F18,F19) +F28+F29+F30)</f>
        <v>0</v>
      </c>
      <c r="G31" s="81" t="str">
        <f>0.035*(MAX(G18,G19) +G28+G29+G30)</f>
        <v>0</v>
      </c>
      <c r="H31" s="81" t="str">
        <f>0.035*(MAX(H18,H19) +H28+H29+H30)</f>
        <v>0</v>
      </c>
      <c r="I31" s="81" t="str">
        <f>0.035*(MAX(I18,I19) +I28+I29+I30)</f>
        <v>0</v>
      </c>
      <c r="J31" s="81" t="str">
        <f>0.035*(MAX(J18,J19) +J28+J29+J30)</f>
        <v>0</v>
      </c>
      <c r="K31" s="81" t="str">
        <f>0.035*(MAX(K18,K19) +K28+K29+K30)</f>
        <v>0</v>
      </c>
      <c r="L31" s="81" t="str">
        <f>0.035*(MAX(L18,L19) +L28+L29+L30)</f>
        <v>0</v>
      </c>
      <c r="M31" s="81" t="str">
        <f>0.035*(MAX(M18,M19) +M28+M29+M30)</f>
        <v>0</v>
      </c>
      <c r="N31" s="81" t="str">
        <f>0.035*(MAX(N18,N19) +N28+N29+N30)</f>
        <v>0</v>
      </c>
      <c r="O31" s="81" t="str">
        <f>0.035*(MAX(O18,O19) +O28+O29+O30)</f>
        <v>0</v>
      </c>
      <c r="P31" s="81" t="str">
        <f>0.035*(MAX(P18,P19) +P28+P29+P30)</f>
        <v>0</v>
      </c>
      <c r="Q31" s="81" t="str">
        <f>0.035*(MAX(Q18,Q19) +Q28+Q29+Q30)</f>
        <v>0</v>
      </c>
      <c r="R31" s="81" t="str">
        <f>0.035*(MAX(R18,R19) +R28+R29+R30)</f>
        <v>0</v>
      </c>
      <c r="S31" s="81" t="str">
        <f>0.035*(MAX(S18,S19) +S28+S29+S30)</f>
        <v>0</v>
      </c>
      <c r="T31" s="81" t="str">
        <f>0.035*(MAX(T18,T19) +T28+T29+T30)</f>
        <v>0</v>
      </c>
      <c r="U31" s="81" t="str">
        <f>0.035*(MAX(U18,U19) +U28+U29+U30)</f>
        <v>0</v>
      </c>
      <c r="V31" s="81" t="str">
        <f>0.035*(MAX(V18,V19) +V28+V29+V30)</f>
        <v>0</v>
      </c>
      <c r="W31" s="81" t="str">
        <f>0.035*(MAX(W18,W19) +W28+W29+W30)</f>
        <v>0</v>
      </c>
      <c r="X31" s="81" t="str">
        <f>0.035*(MAX(X18,X19) +X28+X29+X30)</f>
        <v>0</v>
      </c>
      <c r="Y31" s="81" t="str">
        <f>0.035*(MAX(Y18,Y19) +Y28+Y29+Y30)</f>
        <v>0</v>
      </c>
      <c r="Z31" s="81" t="str">
        <f>0.035*(MAX(Z18,Z19) +Z28+Z29+Z30)</f>
        <v>0</v>
      </c>
      <c r="AA31" s="81" t="str">
        <f>0.035*(MAX(AA18,AA19) +AA28+AA29+AA30)</f>
        <v>0</v>
      </c>
      <c r="AB31" s="81" t="str">
        <f>SUM(C31:AA31)</f>
        <v>0</v>
      </c>
    </row>
    <row r="32" spans="1:32">
      <c r="B32" s="74" t="s">
        <v>36</v>
      </c>
      <c r="C32" s="81" t="str">
        <f>SUM(C28:C31)</f>
        <v>0</v>
      </c>
      <c r="D32" s="81" t="str">
        <f>SUM(D28:D31)</f>
        <v>0</v>
      </c>
      <c r="E32" s="81" t="str">
        <f>SUM(E28:E31)</f>
        <v>0</v>
      </c>
      <c r="F32" s="81" t="str">
        <f>SUM(F28:F31)</f>
        <v>0</v>
      </c>
      <c r="G32" s="81" t="str">
        <f>SUM(G28:G31)</f>
        <v>0</v>
      </c>
      <c r="H32" s="81" t="str">
        <f>SUM(H28:H31)</f>
        <v>0</v>
      </c>
      <c r="I32" s="81" t="str">
        <f>SUM(I28:I31)</f>
        <v>0</v>
      </c>
      <c r="J32" s="81" t="str">
        <f>SUM(J28:J31)</f>
        <v>0</v>
      </c>
      <c r="K32" s="81" t="str">
        <f>SUM(K28:K31)</f>
        <v>0</v>
      </c>
      <c r="L32" s="81" t="str">
        <f>SUM(L28:L31)</f>
        <v>0</v>
      </c>
      <c r="M32" s="81" t="str">
        <f>SUM(M28:M31)</f>
        <v>0</v>
      </c>
      <c r="N32" s="81" t="str">
        <f>SUM(N28:N31)</f>
        <v>0</v>
      </c>
      <c r="O32" s="81" t="str">
        <f>SUM(O28:O31)</f>
        <v>0</v>
      </c>
      <c r="P32" s="81" t="str">
        <f>SUM(P28:P31)</f>
        <v>0</v>
      </c>
      <c r="Q32" s="81" t="str">
        <f>SUM(Q28:Q31)</f>
        <v>0</v>
      </c>
      <c r="R32" s="81" t="str">
        <f>SUM(R28:R31)</f>
        <v>0</v>
      </c>
      <c r="S32" s="81" t="str">
        <f>SUM(S28:S31)</f>
        <v>0</v>
      </c>
      <c r="T32" s="81" t="str">
        <f>SUM(T28:T31)</f>
        <v>0</v>
      </c>
      <c r="U32" s="81" t="str">
        <f>SUM(U28:U31)</f>
        <v>0</v>
      </c>
      <c r="V32" s="81" t="str">
        <f>SUM(V28:V31)</f>
        <v>0</v>
      </c>
      <c r="W32" s="81" t="str">
        <f>SUM(W28:W31)</f>
        <v>0</v>
      </c>
      <c r="X32" s="81" t="str">
        <f>SUM(X28:X31)</f>
        <v>0</v>
      </c>
      <c r="Y32" s="81" t="str">
        <f>SUM(Y28:Y31)</f>
        <v>0</v>
      </c>
      <c r="Z32" s="81" t="str">
        <f>SUM(Z28:Z31)</f>
        <v>0</v>
      </c>
      <c r="AA32" s="81" t="str">
        <f>SUM(AA28:AA31)</f>
        <v>0</v>
      </c>
      <c r="AB32" s="81" t="str">
        <f>SUM(AB28:AB31)</f>
        <v>0</v>
      </c>
    </row>
    <row r="37" spans="1:32">
      <c r="B37" s="75" t="s">
        <v>131</v>
      </c>
      <c r="C37" s="74"/>
      <c r="D37" s="74"/>
      <c r="E37" s="74"/>
    </row>
    <row r="40" spans="1:32">
      <c r="B40" s="74" t="s">
        <v>132</v>
      </c>
      <c r="C40" s="81" t="str">
        <f>C13*AB40</f>
        <v>0</v>
      </c>
      <c r="D40" s="81" t="str">
        <f>D13*AB40</f>
        <v>0</v>
      </c>
      <c r="E40" s="81" t="str">
        <f>E13*AB40</f>
        <v>0</v>
      </c>
      <c r="F40" s="81" t="str">
        <f>F13*AB40</f>
        <v>0</v>
      </c>
      <c r="G40" s="81" t="str">
        <f>G13*AB40</f>
        <v>0</v>
      </c>
      <c r="H40" s="81" t="str">
        <f>H13*AB40</f>
        <v>0</v>
      </c>
      <c r="I40" s="81" t="str">
        <f>I13*AB40</f>
        <v>0</v>
      </c>
      <c r="J40" s="81" t="str">
        <f>J13*AB40</f>
        <v>0</v>
      </c>
      <c r="K40" s="81" t="str">
        <f>K13*AB40</f>
        <v>0</v>
      </c>
      <c r="L40" s="81" t="str">
        <f>L13*AB40</f>
        <v>0</v>
      </c>
      <c r="M40" s="81" t="str">
        <f>M13*AB40</f>
        <v>0</v>
      </c>
      <c r="N40" s="81" t="str">
        <f>N13*AB40</f>
        <v>0</v>
      </c>
      <c r="O40" s="81" t="str">
        <f>O13*AB40</f>
        <v>0</v>
      </c>
      <c r="P40" s="81" t="str">
        <f>P13*AB40</f>
        <v>0</v>
      </c>
      <c r="Q40" s="81" t="str">
        <f>Q13*AB40</f>
        <v>0</v>
      </c>
      <c r="R40" s="81" t="str">
        <f>R13*AB40</f>
        <v>0</v>
      </c>
      <c r="S40" s="81" t="str">
        <f>S13*AB40</f>
        <v>0</v>
      </c>
      <c r="T40" s="81" t="str">
        <f>T13*AB40</f>
        <v>0</v>
      </c>
      <c r="U40" s="81" t="str">
        <f>U13*AB40</f>
        <v>0</v>
      </c>
      <c r="V40" s="81" t="str">
        <f>V13*AB40</f>
        <v>0</v>
      </c>
      <c r="W40" s="81" t="str">
        <f>W13*AB40</f>
        <v>0</v>
      </c>
      <c r="X40" s="81" t="str">
        <f>X13*AB40</f>
        <v>0</v>
      </c>
      <c r="Y40" s="81" t="str">
        <f>Y13*AB40</f>
        <v>0</v>
      </c>
      <c r="Z40" s="81" t="str">
        <f>Z13*AB40</f>
        <v>0</v>
      </c>
      <c r="AA40" s="81" t="str">
        <f>AA13*AB40</f>
        <v>0</v>
      </c>
      <c r="AB40" s="81" t="str">
        <f>IF(AB7&lt;1, ROUNDUP(AF7*0.4, 0), ROUNDUP(AF7*0.4*AB7, 0))</f>
        <v>0</v>
      </c>
    </row>
    <row r="41" spans="1:32">
      <c r="B41"/>
    </row>
    <row r="43" spans="1:32">
      <c r="B43" s="74" t="s">
        <v>132</v>
      </c>
      <c r="C43" s="74" t="s">
        <v>49</v>
      </c>
      <c r="D43" s="74" t="s">
        <v>50</v>
      </c>
      <c r="E43" s="74" t="s">
        <v>51</v>
      </c>
      <c r="F43" s="74" t="s">
        <v>52</v>
      </c>
      <c r="G43" s="74" t="s">
        <v>53</v>
      </c>
      <c r="H43" s="74" t="s">
        <v>54</v>
      </c>
      <c r="I43" s="74" t="s">
        <v>55</v>
      </c>
      <c r="J43" s="74" t="s">
        <v>56</v>
      </c>
      <c r="K43" s="74" t="s">
        <v>57</v>
      </c>
      <c r="L43" s="74" t="s">
        <v>58</v>
      </c>
      <c r="M43" s="74" t="s">
        <v>59</v>
      </c>
      <c r="N43" s="74" t="s">
        <v>60</v>
      </c>
      <c r="O43" s="74" t="s">
        <v>61</v>
      </c>
      <c r="P43" s="74" t="s">
        <v>62</v>
      </c>
      <c r="Q43" s="74" t="s">
        <v>63</v>
      </c>
      <c r="R43" s="74" t="s">
        <v>64</v>
      </c>
      <c r="S43" s="74" t="s">
        <v>65</v>
      </c>
      <c r="T43" s="74" t="s">
        <v>66</v>
      </c>
      <c r="U43" s="74" t="s">
        <v>67</v>
      </c>
      <c r="V43" s="74" t="s">
        <v>68</v>
      </c>
      <c r="W43" s="74" t="s">
        <v>69</v>
      </c>
      <c r="X43" s="74" t="s">
        <v>70</v>
      </c>
      <c r="Y43" s="74" t="s">
        <v>71</v>
      </c>
      <c r="Z43" s="74" t="s">
        <v>72</v>
      </c>
      <c r="AA43" s="74" t="s">
        <v>73</v>
      </c>
      <c r="AB43" s="74" t="s">
        <v>110</v>
      </c>
    </row>
    <row r="44" spans="1:32">
      <c r="B44" s="74" t="s">
        <v>133</v>
      </c>
      <c r="C44" s="81" t="str">
        <f>SUM(C15,C40,C32,(C26*C10))</f>
        <v>0</v>
      </c>
      <c r="D44" s="81" t="str">
        <f>SUM(D15,D40,D32,(D26*D10))</f>
        <v>0</v>
      </c>
      <c r="E44" s="81" t="str">
        <f>SUM(E15,E40,E32,(E26*E10))</f>
        <v>0</v>
      </c>
      <c r="F44" s="81" t="str">
        <f>SUM(F15,F40,F32,(F26*F10))</f>
        <v>0</v>
      </c>
      <c r="G44" s="81" t="str">
        <f>SUM(G15,G40,G32,(G26*G10))</f>
        <v>0</v>
      </c>
      <c r="H44" s="81" t="str">
        <f>SUM(H15,H40,H32,(H26*H10))</f>
        <v>0</v>
      </c>
      <c r="I44" s="81" t="str">
        <f>SUM(I15,I40,I32,(I26*I10))</f>
        <v>0</v>
      </c>
      <c r="J44" s="81" t="str">
        <f>SUM(J15,J40,J32,(J26*J10))</f>
        <v>0</v>
      </c>
      <c r="K44" s="81" t="str">
        <f>SUM(K15,K40,K32,(K26*K10))</f>
        <v>0</v>
      </c>
      <c r="L44" s="81" t="str">
        <f>SUM(L15,L40,L32,(L26*L10))</f>
        <v>0</v>
      </c>
      <c r="M44" s="81" t="str">
        <f>SUM(M15,M40,M32,(M26*M10))</f>
        <v>0</v>
      </c>
      <c r="N44" s="81" t="str">
        <f>SUM(N15,N40,N32,(N26*N10))</f>
        <v>0</v>
      </c>
      <c r="O44" s="81" t="str">
        <f>SUM(O15,O40,O32,(O26*O10))</f>
        <v>0</v>
      </c>
      <c r="P44" s="81" t="str">
        <f>SUM(P15,P40,P32,(P26*P10))</f>
        <v>0</v>
      </c>
      <c r="Q44" s="81" t="str">
        <f>SUM(Q15,Q40,Q32,(Q26*Q10))</f>
        <v>0</v>
      </c>
      <c r="R44" s="81" t="str">
        <f>SUM(R15,R40,R32,(R26*R10))</f>
        <v>0</v>
      </c>
      <c r="S44" s="81" t="str">
        <f>SUM(S15,S40,S32,(S26*S10))</f>
        <v>0</v>
      </c>
      <c r="T44" s="81" t="str">
        <f>SUM(T15,T40,T32,(T26*T10))</f>
        <v>0</v>
      </c>
      <c r="U44" s="81" t="str">
        <f>SUM(U15,U40,U32,(U26*U10))</f>
        <v>0</v>
      </c>
      <c r="V44" s="81" t="str">
        <f>SUM(V15,V40,V32,(V26*V10))</f>
        <v>0</v>
      </c>
      <c r="W44" s="81" t="str">
        <f>SUM(W15,W40,W32,(W26*W10))</f>
        <v>0</v>
      </c>
      <c r="X44" s="81" t="str">
        <f>SUM(X15,X40,X32,(X26*X10))</f>
        <v>0</v>
      </c>
      <c r="Y44" s="81" t="str">
        <f>SUM(Y15,Y40,Y32,(Y26*Y10))</f>
        <v>0</v>
      </c>
      <c r="Z44" s="81" t="str">
        <f>SUM(Z15,Z40,Z32,(Z26*Z10))</f>
        <v>0</v>
      </c>
      <c r="AA44" s="81" t="str">
        <f>SUM(AA15,AA40,AA32,(AA26*AA10))</f>
        <v>0</v>
      </c>
      <c r="AB44" s="81" t="str">
        <f>SUM(C44:AA44)</f>
        <v>0</v>
      </c>
    </row>
    <row r="45" spans="1:32">
      <c r="B45" s="74" t="s">
        <v>45</v>
      </c>
      <c r="C45" s="74">
        <v>20</v>
      </c>
      <c r="D45" s="74">
        <v>15</v>
      </c>
      <c r="E45" s="74">
        <v>10</v>
      </c>
      <c r="F45" s="74">
        <v>10</v>
      </c>
      <c r="G45" s="74">
        <v>10</v>
      </c>
      <c r="H45" s="74">
        <v>60</v>
      </c>
      <c r="I45" s="74">
        <v>150</v>
      </c>
      <c r="J45" s="74">
        <v>650</v>
      </c>
      <c r="K45" s="74">
        <v>15</v>
      </c>
      <c r="L45" s="74">
        <v>20</v>
      </c>
      <c r="M45" s="74">
        <v>20</v>
      </c>
      <c r="N45" s="74">
        <v>40</v>
      </c>
      <c r="O45" s="74">
        <v>350</v>
      </c>
      <c r="P45" s="74">
        <v>50</v>
      </c>
      <c r="Q45" s="74">
        <v>70</v>
      </c>
      <c r="R45" s="74">
        <v>150</v>
      </c>
      <c r="S45" s="74">
        <v>1000</v>
      </c>
      <c r="T45" s="74">
        <v>300</v>
      </c>
      <c r="U45" s="74">
        <v>100</v>
      </c>
      <c r="V45" s="74">
        <v>100</v>
      </c>
      <c r="W45" s="74">
        <v>100</v>
      </c>
      <c r="X45" s="74">
        <v>30</v>
      </c>
      <c r="Y45" s="74">
        <v>510</v>
      </c>
      <c r="Z45" s="74">
        <v>200</v>
      </c>
      <c r="AA45" s="74">
        <v>150</v>
      </c>
      <c r="AB45" s="74"/>
    </row>
    <row r="46" spans="1:32">
      <c r="B46" s="74" t="s">
        <v>134</v>
      </c>
      <c r="C46" s="81" t="str">
        <f>ROUND(SUM(C44/C45),2)</f>
        <v>0</v>
      </c>
      <c r="D46" s="81" t="str">
        <f>ROUND(SUM(D44/D45),2)</f>
        <v>0</v>
      </c>
      <c r="E46" s="81" t="str">
        <f>ROUND(SUM(E44/E45),2)</f>
        <v>0</v>
      </c>
      <c r="F46" s="81" t="str">
        <f>ROUND(SUM(F44/F45),2)</f>
        <v>0</v>
      </c>
      <c r="G46" s="81" t="str">
        <f>ROUND(SUM(G44/G45),2)</f>
        <v>0</v>
      </c>
      <c r="H46" s="81" t="str">
        <f>ROUND(SUM(H44/H45),2)</f>
        <v>0</v>
      </c>
      <c r="I46" s="81" t="str">
        <f>ROUND(SUM(I44/I45),2)</f>
        <v>0</v>
      </c>
      <c r="J46" s="81" t="str">
        <f>ROUND(SUM(J44/J45),2)</f>
        <v>0</v>
      </c>
      <c r="K46" s="81" t="str">
        <f>ROUND(SUM(K44/K45),2)</f>
        <v>0</v>
      </c>
      <c r="L46" s="81" t="str">
        <f>ROUND(SUM(L44/L45),2)</f>
        <v>0</v>
      </c>
      <c r="M46" s="81" t="str">
        <f>ROUND(SUM(M44/M45),2)</f>
        <v>0</v>
      </c>
      <c r="N46" s="81" t="str">
        <f>ROUND(SUM(N44/N45),2)</f>
        <v>0</v>
      </c>
      <c r="O46" s="81" t="str">
        <f>ROUND(SUM(O44/O45),2)</f>
        <v>0</v>
      </c>
      <c r="P46" s="81" t="str">
        <f>ROUND(SUM(P44/P45),2)</f>
        <v>0</v>
      </c>
      <c r="Q46" s="81" t="str">
        <f>ROUND(SUM(Q44/Q45),2)</f>
        <v>0</v>
      </c>
      <c r="R46" s="81" t="str">
        <f>ROUND(SUM(R44/R45),2)</f>
        <v>0</v>
      </c>
      <c r="S46" s="81" t="str">
        <f>ROUND(SUM(S44/S45),2)</f>
        <v>0</v>
      </c>
      <c r="T46" s="81" t="str">
        <f>ROUND(SUM(T44/T45),2)</f>
        <v>0</v>
      </c>
      <c r="U46" s="81" t="str">
        <f>ROUND(SUM(U44/U45),2)</f>
        <v>0</v>
      </c>
      <c r="V46" s="81" t="str">
        <f>ROUND(SUM(V44/V45),2)</f>
        <v>0</v>
      </c>
      <c r="W46" s="81" t="str">
        <f>ROUND(SUM(W44/W45),2)</f>
        <v>0</v>
      </c>
      <c r="X46" s="81" t="str">
        <f>ROUND(SUM(X44/X45),2)</f>
        <v>0</v>
      </c>
      <c r="Y46" s="81" t="str">
        <f>ROUND(SUM(Y44/Y45),2)</f>
        <v>0</v>
      </c>
      <c r="Z46" s="81" t="str">
        <f>ROUND(SUM(Z44/Z45),2)</f>
        <v>0</v>
      </c>
      <c r="AA46" s="81" t="str">
        <f>ROUND(SUM(AA44/AA45),2)</f>
        <v>0</v>
      </c>
      <c r="AB46" s="74"/>
    </row>
    <row r="47" spans="1:32">
      <c r="B47" s="74" t="s">
        <v>135</v>
      </c>
      <c r="C47" s="85" t="str">
        <f>ROUND(C46*3.7,2)</f>
        <v>0</v>
      </c>
      <c r="D47" s="85" t="str">
        <f>ROUND(D46*3.7,2)</f>
        <v>0</v>
      </c>
      <c r="E47" s="85" t="str">
        <f>ROUND(E46*3.7,2)</f>
        <v>0</v>
      </c>
      <c r="F47" s="85" t="str">
        <f>ROUND(F46*3.7,2)</f>
        <v>0</v>
      </c>
      <c r="G47" s="85" t="str">
        <f>ROUND(G46*3.7,2)</f>
        <v>0</v>
      </c>
      <c r="H47" s="85" t="str">
        <f>ROUND(H46*3.7,2)</f>
        <v>0</v>
      </c>
      <c r="I47" s="85" t="str">
        <f>ROUND(I46*3.7,2)</f>
        <v>0</v>
      </c>
      <c r="J47" s="85" t="str">
        <f>ROUND(J46*3.7,2)</f>
        <v>0</v>
      </c>
      <c r="K47" s="85" t="str">
        <f>ROUND(K46*3.7,2)</f>
        <v>0</v>
      </c>
      <c r="L47" s="85" t="str">
        <f>ROUND(L46*3.7,2)</f>
        <v>0</v>
      </c>
      <c r="M47" s="85" t="str">
        <f>ROUND(M46*3.7,2)</f>
        <v>0</v>
      </c>
      <c r="N47" s="85" t="str">
        <f>ROUND(N46*3.7,2)</f>
        <v>0</v>
      </c>
      <c r="O47" s="85" t="str">
        <f>ROUND(O46*3.7,2)</f>
        <v>0</v>
      </c>
      <c r="P47" s="85" t="str">
        <f>ROUND(P46*3.7,2)</f>
        <v>0</v>
      </c>
      <c r="Q47" s="85" t="str">
        <f>ROUND(Q46*3.7,2)</f>
        <v>0</v>
      </c>
      <c r="R47" s="85" t="str">
        <f>ROUND(R46*3.7,2)</f>
        <v>0</v>
      </c>
      <c r="S47" s="85" t="str">
        <f>ROUND(S46*3.7,2)</f>
        <v>0</v>
      </c>
      <c r="T47" s="85" t="str">
        <f>ROUND(T46*3.7,2)</f>
        <v>0</v>
      </c>
      <c r="U47" s="85" t="str">
        <f>ROUND(U46*3.7,2)</f>
        <v>0</v>
      </c>
      <c r="V47" s="85" t="str">
        <f>ROUND(V46*3.7,2)</f>
        <v>0</v>
      </c>
      <c r="W47" s="85" t="str">
        <f>ROUND(W46*3.7,2)</f>
        <v>0</v>
      </c>
      <c r="X47" s="85" t="str">
        <f>ROUND(X46*3.7,2)</f>
        <v>0</v>
      </c>
      <c r="Y47" s="85" t="str">
        <f>ROUND(Y46*3.7,2)</f>
        <v>0</v>
      </c>
      <c r="Z47" s="85" t="str">
        <f>ROUND(Z46*3.7,2)</f>
        <v>0</v>
      </c>
      <c r="AA47" s="85" t="str">
        <f>ROUND(AA46*3.7,2)</f>
        <v>0</v>
      </c>
      <c r="AB47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