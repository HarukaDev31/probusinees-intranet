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'1'!$A$1:$M$121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<sst xmlns="http://schemas.openxmlformats.org/spreadsheetml/2006/main" uniqueCount="137">
  <si>
    <t>PRO MUNDO COMEX S.A.C.</t>
  </si>
  <si>
    <t xml:space="preserve">         RUC: 20612452432</t>
  </si>
  <si>
    <t>COTIZACION N002</t>
  </si>
  <si>
    <t>NOMBRE:</t>
  </si>
  <si>
    <t>Edwing Saavedra Valeriano</t>
  </si>
  <si>
    <t>SERVICIO:</t>
  </si>
  <si>
    <t>CARGA CONSOLIDADA</t>
  </si>
  <si>
    <t>N° CAJAS:</t>
  </si>
  <si>
    <t>APELLIDO:</t>
  </si>
  <si>
    <t>FECHA:</t>
  </si>
  <si>
    <t>PESO:</t>
  </si>
  <si>
    <t>91 Kg</t>
  </si>
  <si>
    <t>DNI/RUC:</t>
  </si>
  <si>
    <t>ORIGEN:</t>
  </si>
  <si>
    <t>CHINA</t>
  </si>
  <si>
    <t>MEDIDA:</t>
  </si>
  <si>
    <t>TELEFONO:</t>
  </si>
  <si>
    <t>915 125 848</t>
  </si>
  <si>
    <t>CLIENTE:</t>
  </si>
  <si>
    <t>NUEVO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</si>
  <si>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</si>
  <si>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</si>
  <si>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</si>
  <si>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</si>
  <si>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</si>
  <si>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</si>
  <si>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</si>
  <si>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</si>
  <si>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</si>
  <si>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</si>
  <si>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</si>
  <si>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Edwing Saavedra Valeriano 😁 un gusto saludarte!
        A continuación te envío la cotización final de tu importación📋📦.
        🙋‍♂️ PAGO PENDIENTE :
        ☑️Costo CBM: $1108.79604
        ☑️Impuestos: $3083.49
        ☑️ Total: $4192.28604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</si>
  <si>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</si>
  <si>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</si>
  <si>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</si>
  <si>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</si>
  <si>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</si>
  <si>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</si>
  <si>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</si>
  <si>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</si>
  <si>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</si>
  <si>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</si>
  <si>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</si>
  <si>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</si>
  <si>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</si>
  <si>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</si>
  <si>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</si>
  <si>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</si>
  <si>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</si>
  <si>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</si>
  <si>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FOCOS LED Y7D</t>
  </si>
  <si>
    <t>FOCOS LED SC7</t>
  </si>
  <si>
    <t>FOCOS LED Y8H4</t>
  </si>
  <si>
    <t>FOCOS LED V26(H4)</t>
  </si>
  <si>
    <t>FOCOS LED V68(H4)</t>
  </si>
  <si>
    <t>CARGADOR DE BATERÍAS DE CARROS</t>
  </si>
  <si>
    <t>GUANTES LARGOS TACTICOS</t>
  </si>
  <si>
    <t>GUANTES CORTOS TACTICOS</t>
  </si>
  <si>
    <t>MOCHILA TACTICA</t>
  </si>
  <si>
    <t>MOCHILA PARA SENDERISMO</t>
  </si>
  <si>
    <t>MOCHILA TACTICA MULTIBOLSILLOS</t>
  </si>
  <si>
    <t>MORRAL TÁCTICO</t>
  </si>
  <si>
    <t>CORREA TÁCTICA</t>
  </si>
  <si>
    <t>MASCARA TACTICA</t>
  </si>
  <si>
    <t>PACK RODILLERAS Y CODERAS TACTICAS</t>
  </si>
  <si>
    <t>PASAMONTAÑAS TACTICA</t>
  </si>
  <si>
    <t>CINTURON DE SEGURIDAD DE 3 PUNTOS</t>
  </si>
  <si>
    <t>CINTURÓN DE SEGURIDAD DE 2 PUNTOS RETRACTIL</t>
  </si>
  <si>
    <t>SOPORTE PARA BARRAS DE MOTOCICLETA</t>
  </si>
  <si>
    <t>SOPORTE PARA SLIDER DE MOTOCICLETA</t>
  </si>
  <si>
    <t>SOPORTE PARA ESPEJO DE MOTOCICLETA</t>
  </si>
  <si>
    <t>COMANDO CON LUZ LED PARA MOTOCICLETA</t>
  </si>
  <si>
    <t>PISCINA CON PROTECCION</t>
  </si>
  <si>
    <t>MALLA HEXAGONAL DE PROTECCIÓN</t>
  </si>
  <si>
    <t>SET DE PINES DE SEGURIDAD PARA PARLANTES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</si>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</sst>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27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66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102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8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>
        <v>25866466</v>
      </c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 t="s">
        <v>17</v>
      </c>
      <c r="D11" s="35"/>
      <c r="E11" s="24" t="s">
        <v>18</v>
      </c>
      <c r="F11" s="48" t="s">
        <v>19</v>
      </c>
      <c r="G11" s="65"/>
      <c r="H11" s="33"/>
      <c r="I11" s="1" t="s">
        <v>20</v>
      </c>
      <c r="J11" s="95" t="str">
        <f>'2'!AB7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21</v>
      </c>
      <c r="C13" s="66"/>
      <c r="D13" s="66"/>
      <c r="E13" s="66"/>
      <c r="F13" s="66"/>
      <c r="G13" s="66"/>
      <c r="H13" s="66"/>
      <c r="I13" s="66"/>
      <c r="J13" s="66"/>
      <c r="K13" s="10" t="s">
        <v>22</v>
      </c>
      <c r="L13" s="10" t="s">
        <v>23</v>
      </c>
    </row>
    <row r="14" spans="1:14">
      <c r="B14" s="67" t="s">
        <v>24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25</v>
      </c>
    </row>
    <row r="15" spans="1:14">
      <c r="B15" s="68" t="s">
        <v>26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25</v>
      </c>
    </row>
    <row r="16" spans="1:14">
      <c r="B16" s="51" t="s">
        <v>27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28</v>
      </c>
      <c r="C19" s="69"/>
      <c r="D19" s="69"/>
      <c r="E19" s="69"/>
      <c r="F19" s="69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49" t="s">
        <v>30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25</v>
      </c>
      <c r="N20" t="s">
        <v>31</v>
      </c>
    </row>
    <row r="21" spans="1:14">
      <c r="B21" s="49" t="s">
        <v>32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25</v>
      </c>
    </row>
    <row r="22" spans="1:14">
      <c r="B22" s="48" t="s">
        <v>33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25</v>
      </c>
    </row>
    <row r="23" spans="1:14">
      <c r="B23" s="51" t="s">
        <v>34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25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35</v>
      </c>
      <c r="C25" s="48"/>
      <c r="D25" s="48"/>
      <c r="E25" s="48"/>
      <c r="F25" s="48"/>
      <c r="G25" s="48"/>
      <c r="H25" s="48"/>
      <c r="I25" s="48"/>
      <c r="J25" s="21" t="s">
        <v>36</v>
      </c>
      <c r="K25" s="15" t="str">
        <f>'2'!AB31</f>
        <v>0</v>
      </c>
      <c r="L25" s="12" t="s">
        <v>25</v>
      </c>
    </row>
    <row r="26" spans="1:14">
      <c r="B26" s="51" t="s">
        <v>37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25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38</v>
      </c>
      <c r="C28" s="52"/>
      <c r="D28" s="52"/>
      <c r="E28" s="52"/>
      <c r="F28" s="52"/>
      <c r="G28" s="52"/>
      <c r="H28" s="52"/>
      <c r="I28" s="52"/>
      <c r="J28" s="52"/>
      <c r="K28" s="28" t="s">
        <v>22</v>
      </c>
      <c r="L28" s="28" t="s">
        <v>23</v>
      </c>
    </row>
    <row r="29" spans="1:14">
      <c r="B29" s="49" t="s">
        <v>39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25</v>
      </c>
    </row>
    <row r="30" spans="1:14">
      <c r="B30" s="49" t="s">
        <v>40</v>
      </c>
      <c r="C30" s="49"/>
      <c r="D30" s="49"/>
      <c r="E30" s="49"/>
      <c r="F30" s="49"/>
      <c r="G30" s="49"/>
      <c r="H30" s="49"/>
      <c r="I30" s="49"/>
      <c r="J30" s="49"/>
      <c r="K30" s="14" t="str">
        <f>IF('2'!AF7&lt;1, '2'!AF7*J11, '2'!AF7*J11)</f>
        <v>0</v>
      </c>
      <c r="L30" s="9" t="s">
        <v>25</v>
      </c>
    </row>
    <row r="31" spans="1:14">
      <c r="B31" s="48" t="s">
        <v>41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25</v>
      </c>
    </row>
    <row r="32" spans="1:14">
      <c r="B32" s="51" t="s">
        <v>42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25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43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44</v>
      </c>
      <c r="C35" s="56" t="s">
        <v>45</v>
      </c>
      <c r="D35" s="57"/>
      <c r="E35" s="58"/>
      <c r="F35" s="4" t="s">
        <v>46</v>
      </c>
      <c r="G35" s="56" t="s">
        <v>47</v>
      </c>
      <c r="H35" s="58"/>
      <c r="I35" s="3" t="s">
        <v>48</v>
      </c>
      <c r="J35" s="26" t="s">
        <v>37</v>
      </c>
      <c r="K35" s="47" t="s">
        <v>49</v>
      </c>
      <c r="L35" s="47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54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55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56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57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58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59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60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61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62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63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64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65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66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67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68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1">
        <v>20</v>
      </c>
      <c r="C55" s="5" t="s">
        <v>69</v>
      </c>
      <c r="D55" s="5"/>
      <c r="E55" s="5"/>
      <c r="F55" s="5" t="str">
        <f>'2'!V10</f>
        <v>0</v>
      </c>
      <c r="G55" s="88" t="str">
        <f>'2'!V8</f>
        <v>0</v>
      </c>
      <c r="H55" s="5"/>
      <c r="I55" s="88" t="str">
        <f>'2'!V46</f>
        <v>0</v>
      </c>
      <c r="J55" s="88" t="str">
        <f>'2'!V44</f>
        <v>0</v>
      </c>
      <c r="K55" s="89" t="str">
        <f>'2'!V47</f>
        <v>0</v>
      </c>
      <c r="L55" s="3"/>
    </row>
    <row r="56" spans="1:14" customHeight="1" ht="18">
      <c r="B56" s="91">
        <v>21</v>
      </c>
      <c r="C56" s="5" t="s">
        <v>70</v>
      </c>
      <c r="D56" s="5"/>
      <c r="E56" s="5"/>
      <c r="F56" s="5" t="str">
        <f>'2'!W10</f>
        <v>0</v>
      </c>
      <c r="G56" s="88" t="str">
        <f>'2'!W8</f>
        <v>0</v>
      </c>
      <c r="H56" s="5"/>
      <c r="I56" s="88" t="str">
        <f>'2'!W46</f>
        <v>0</v>
      </c>
      <c r="J56" s="88" t="str">
        <f>'2'!W44</f>
        <v>0</v>
      </c>
      <c r="K56" s="89" t="str">
        <f>'2'!W47</f>
        <v>0</v>
      </c>
      <c r="L56" s="3"/>
    </row>
    <row r="57" spans="1:14" customHeight="1" ht="18">
      <c r="B57" s="91">
        <v>22</v>
      </c>
      <c r="C57" s="5" t="s">
        <v>71</v>
      </c>
      <c r="D57" s="5"/>
      <c r="E57" s="5"/>
      <c r="F57" s="5" t="str">
        <f>'2'!X10</f>
        <v>0</v>
      </c>
      <c r="G57" s="88" t="str">
        <f>'2'!X8</f>
        <v>0</v>
      </c>
      <c r="H57" s="5"/>
      <c r="I57" s="88" t="str">
        <f>'2'!X46</f>
        <v>0</v>
      </c>
      <c r="J57" s="88" t="str">
        <f>'2'!X44</f>
        <v>0</v>
      </c>
      <c r="K57" s="89" t="str">
        <f>'2'!X47</f>
        <v>0</v>
      </c>
      <c r="L57" s="3"/>
    </row>
    <row r="58" spans="1:14" customHeight="1" ht="18">
      <c r="B58" s="91">
        <v>23</v>
      </c>
      <c r="C58" s="5" t="s">
        <v>72</v>
      </c>
      <c r="D58" s="5"/>
      <c r="E58" s="5"/>
      <c r="F58" s="5" t="str">
        <f>'2'!Y10</f>
        <v>0</v>
      </c>
      <c r="G58" s="88" t="str">
        <f>'2'!Y8</f>
        <v>0</v>
      </c>
      <c r="H58" s="5"/>
      <c r="I58" s="88" t="str">
        <f>'2'!Y46</f>
        <v>0</v>
      </c>
      <c r="J58" s="88" t="str">
        <f>'2'!Y44</f>
        <v>0</v>
      </c>
      <c r="K58" s="89" t="str">
        <f>'2'!Y47</f>
        <v>0</v>
      </c>
      <c r="L58" s="3"/>
    </row>
    <row r="59" spans="1:14" customHeight="1" ht="18">
      <c r="B59" s="91">
        <v>24</v>
      </c>
      <c r="C59" s="5" t="s">
        <v>73</v>
      </c>
      <c r="D59" s="5"/>
      <c r="E59" s="5"/>
      <c r="F59" s="5" t="str">
        <f>'2'!Z10</f>
        <v>0</v>
      </c>
      <c r="G59" s="88" t="str">
        <f>'2'!Z8</f>
        <v>0</v>
      </c>
      <c r="H59" s="5"/>
      <c r="I59" s="88" t="str">
        <f>'2'!Z46</f>
        <v>0</v>
      </c>
      <c r="J59" s="88" t="str">
        <f>'2'!Z44</f>
        <v>0</v>
      </c>
      <c r="K59" s="89" t="str">
        <f>'2'!Z47</f>
        <v>0</v>
      </c>
      <c r="L59" s="3"/>
    </row>
    <row r="60" spans="1:14" customHeight="1" ht="18">
      <c r="B60" s="91">
        <v>25</v>
      </c>
      <c r="C60" s="5" t="s">
        <v>74</v>
      </c>
      <c r="D60" s="5"/>
      <c r="E60" s="5"/>
      <c r="F60" s="5" t="str">
        <f>'2'!AA10</f>
        <v>0</v>
      </c>
      <c r="G60" s="88" t="str">
        <f>'2'!AA8</f>
        <v>0</v>
      </c>
      <c r="H60" s="5"/>
      <c r="I60" s="88" t="str">
        <f>'2'!AA46</f>
        <v>0</v>
      </c>
      <c r="J60" s="88" t="str">
        <f>'2'!AA44</f>
        <v>0</v>
      </c>
      <c r="K60" s="89" t="str">
        <f>'2'!AA47</f>
        <v>0</v>
      </c>
      <c r="L60" s="3"/>
    </row>
    <row r="61" spans="1:14" customHeight="1" ht="18">
      <c r="B61" s="93" t="s">
        <v>37</v>
      </c>
      <c r="C61" s="92"/>
      <c r="D61" s="92"/>
      <c r="E61" s="92"/>
      <c r="F61" s="93" t="str">
        <f>SUM(F36:F60)</f>
        <v>0</v>
      </c>
      <c r="G61" s="64"/>
      <c r="H61" s="64"/>
      <c r="I61" s="64"/>
      <c r="J61" s="94" t="str">
        <f>SUM(J36:J60)</f>
        <v>0</v>
      </c>
      <c r="K61" s="64"/>
      <c r="L61" s="64"/>
    </row>
    <row r="62" spans="1:14" customHeight="1" ht="18">
      <c r="B62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2" s="64"/>
      <c r="D62" s="64"/>
      <c r="E62" s="64"/>
      <c r="F62" s="64"/>
      <c r="G62" s="64"/>
      <c r="H62" s="64"/>
      <c r="I62" s="64"/>
      <c r="J62" s="64"/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s">
        <v>77</v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</row>
    <row r="67" spans="1:14" customHeight="1" ht="9">
      <c r="B67" s="38"/>
      <c r="C67" s="38"/>
      <c r="E67" s="38"/>
      <c r="F67" s="38"/>
      <c r="G67" s="38"/>
      <c r="H67" s="38"/>
      <c r="I67" s="38"/>
      <c r="J67" s="38"/>
      <c r="K67" s="38"/>
      <c r="L67" s="38"/>
      <c r="M67" s="38"/>
    </row>
    <row r="68" spans="1:14" customHeight="1" ht="31.8">
      <c r="B68" s="38"/>
      <c r="C68" s="38"/>
      <c r="D68" s="37" t="s">
        <v>0</v>
      </c>
      <c r="E68" s="37"/>
      <c r="F68" s="37"/>
      <c r="G68" s="37"/>
      <c r="H68" s="37"/>
      <c r="I68" s="37"/>
      <c r="J68" s="37"/>
      <c r="K68" s="37"/>
      <c r="L68" s="37"/>
      <c r="M68" s="37"/>
    </row>
    <row r="69" spans="1:14" customHeight="1" ht="21">
      <c r="B69" s="38"/>
      <c r="C69" s="38"/>
      <c r="D69" s="53" t="s">
        <v>79</v>
      </c>
      <c r="E69" s="53"/>
      <c r="F69" s="53"/>
      <c r="G69" s="53"/>
      <c r="H69" s="53"/>
      <c r="I69" s="53"/>
    </row>
    <row r="70" spans="1:14">
      <c r="B70" s="38"/>
      <c r="C70" s="38"/>
    </row>
    <row r="71" spans="1:14">
      <c r="B71" s="38"/>
      <c r="C71" s="38"/>
    </row>
    <row r="72" spans="1:14" customHeight="1" ht="21">
      <c r="B72" s="70" t="s">
        <v>80</v>
      </c>
      <c r="C72" s="70"/>
      <c r="D72" s="70"/>
      <c r="E72" s="70"/>
      <c r="F72" s="70"/>
      <c r="G72" s="70"/>
      <c r="H72" s="70"/>
      <c r="I72" s="70"/>
      <c r="J72" s="70"/>
      <c r="K72" s="70"/>
      <c r="L72" s="70"/>
    </row>
    <row r="74" spans="1:14">
      <c r="B74" s="71" t="s">
        <v>81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82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49" t="s">
        <v>83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spans="1:14">
      <c r="B77" s="71" t="s">
        <v>84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85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49" t="s">
        <v>86</v>
      </c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4">
      <c r="B80" s="71" t="s">
        <v>87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88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89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90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91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92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93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94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95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96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67" t="s">
        <v>98</v>
      </c>
      <c r="C91" s="67"/>
      <c r="D91" s="67"/>
      <c r="E91" s="67"/>
      <c r="F91" s="67"/>
      <c r="G91" s="67"/>
      <c r="H91" s="67"/>
      <c r="I91" s="67"/>
      <c r="J91" s="67"/>
      <c r="K91" s="67"/>
      <c r="L91" s="67"/>
    </row>
    <row r="92" spans="1:14">
      <c r="B92" s="71" t="s">
        <v>99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B93" s="67" t="s">
        <v>100</v>
      </c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 spans="1:14">
      <c r="B94" s="71" t="s">
        <v>101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B95" s="71" t="s">
        <v>102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103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104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105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A99" s="32"/>
      <c r="B99" s="72" t="s">
        <v>106</v>
      </c>
      <c r="C99" s="72"/>
      <c r="D99" s="72"/>
      <c r="E99" s="72"/>
      <c r="F99" s="72"/>
      <c r="G99" s="72"/>
      <c r="H99" s="72"/>
      <c r="I99" s="72"/>
      <c r="J99" s="72"/>
      <c r="K99" s="72"/>
      <c r="L99" s="72"/>
    </row>
    <row r="100" spans="1:14">
      <c r="A100" s="32"/>
      <c r="B100" s="71" t="s">
        <v>107</v>
      </c>
      <c r="C100" s="71"/>
      <c r="D100" s="71"/>
      <c r="E100" s="71"/>
      <c r="F100" s="71"/>
      <c r="G100" s="71"/>
      <c r="H100" s="71"/>
      <c r="I100" s="71"/>
      <c r="J100" s="71"/>
      <c r="K100" s="71"/>
      <c r="L100" s="71"/>
    </row>
    <row r="101" spans="1:14">
      <c r="A101" s="32"/>
      <c r="B101" s="72" t="s">
        <v>108</v>
      </c>
      <c r="C101" s="72"/>
      <c r="D101" s="72"/>
      <c r="E101" s="72"/>
      <c r="F101" s="72"/>
      <c r="G101" s="72"/>
      <c r="H101" s="72"/>
      <c r="I101" s="72"/>
      <c r="J101" s="72"/>
      <c r="K101" s="72"/>
      <c r="L101" s="72"/>
    </row>
    <row r="103" spans="1:14">
      <c r="C103" s="38"/>
      <c r="D103" s="38"/>
      <c r="E103" s="38"/>
      <c r="F103" s="38"/>
      <c r="G103" s="38"/>
      <c r="H103" s="38"/>
      <c r="I103" s="38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 customHeight="1" ht="15.6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>
      <c r="C112" s="38"/>
      <c r="D112" s="38"/>
      <c r="E112" s="38"/>
      <c r="F112" s="38"/>
      <c r="G112" s="38"/>
      <c r="H112" s="38"/>
      <c r="I112" s="38"/>
    </row>
    <row r="118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1:L91"/>
    <mergeCell ref="B92:L92"/>
    <mergeCell ref="A7:C7"/>
    <mergeCell ref="I7:L7"/>
    <mergeCell ref="B76:L76"/>
    <mergeCell ref="B65:L65"/>
    <mergeCell ref="C38:E38"/>
    <mergeCell ref="K38:L38"/>
    <mergeCell ref="B74:L74"/>
    <mergeCell ref="B87:L87"/>
    <mergeCell ref="B75:L75"/>
    <mergeCell ref="G37:H37"/>
    <mergeCell ref="J11:L11"/>
    <mergeCell ref="B101:L101"/>
    <mergeCell ref="B84:L84"/>
    <mergeCell ref="B85:L85"/>
    <mergeCell ref="B86:L86"/>
    <mergeCell ref="B77:L77"/>
    <mergeCell ref="B78:L78"/>
    <mergeCell ref="B79:L79"/>
    <mergeCell ref="B80:L80"/>
    <mergeCell ref="B81:L81"/>
    <mergeCell ref="B82:L82"/>
    <mergeCell ref="B83:L83"/>
    <mergeCell ref="B88:L88"/>
    <mergeCell ref="B89:L89"/>
    <mergeCell ref="B90:L90"/>
    <mergeCell ref="B100:L100"/>
    <mergeCell ref="B99:L99"/>
    <mergeCell ref="B98:L98"/>
    <mergeCell ref="B93:L93"/>
    <mergeCell ref="B94:L94"/>
    <mergeCell ref="B95:L95"/>
    <mergeCell ref="B96:L96"/>
    <mergeCell ref="B97:L97"/>
    <mergeCell ref="B67:C71"/>
    <mergeCell ref="B19:F19"/>
    <mergeCell ref="C35:E35"/>
    <mergeCell ref="B72:L72"/>
    <mergeCell ref="B63:L63"/>
    <mergeCell ref="G38:H38"/>
    <mergeCell ref="K37:L37"/>
    <mergeCell ref="C37:E37"/>
    <mergeCell ref="B27:I27"/>
    <mergeCell ref="B23:I23"/>
    <mergeCell ref="B20:I20"/>
    <mergeCell ref="B21:I21"/>
    <mergeCell ref="B22:I22"/>
    <mergeCell ref="D68:J68"/>
    <mergeCell ref="B31:J31"/>
    <mergeCell ref="B26:I26"/>
    <mergeCell ref="B12:L12"/>
    <mergeCell ref="B13:J13"/>
    <mergeCell ref="B14:J14"/>
    <mergeCell ref="B16:J16"/>
    <mergeCell ref="B15:J15"/>
    <mergeCell ref="C103:I112"/>
    <mergeCell ref="A1:L1"/>
    <mergeCell ref="E2:L2"/>
    <mergeCell ref="D69:I69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64:L64"/>
    <mergeCell ref="B62:L62"/>
    <mergeCell ref="F11:G11"/>
    <mergeCell ref="K68:M68"/>
    <mergeCell ref="E67:M67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B61:E61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6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0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16.424561" bestFit="true" customWidth="true" style="0"/>
    <col min="4" max="4" width="16.424561" bestFit="true" customWidth="true" style="0"/>
    <col min="5" max="5" width="17.567139" bestFit="true" customWidth="true" style="0"/>
    <col min="6" max="6" width="21.137695" bestFit="true" customWidth="true" style="0"/>
    <col min="7" max="7" width="21.137695" bestFit="true" customWidth="true" style="0"/>
    <col min="8" max="8" width="36.419678" bestFit="true" customWidth="true" style="0"/>
    <col min="9" max="9" width="28.135986" bestFit="true" customWidth="true" style="0"/>
    <col min="10" max="10" width="28.135986" bestFit="true" customWidth="true" style="0"/>
    <col min="11" max="11" width="18.709717" bestFit="true" customWidth="true" style="0"/>
    <col min="12" max="12" width="28.135986" bestFit="true" customWidth="true" style="0"/>
    <col min="13" max="13" width="36.419678" bestFit="true" customWidth="true" style="0"/>
    <col min="14" max="14" width="17.567139" bestFit="true" customWidth="true" style="0"/>
    <col min="15" max="15" width="17.567139" bestFit="true" customWidth="true" style="0"/>
    <col min="16" max="16" width="18.709717" bestFit="true" customWidth="true" style="0"/>
    <col min="17" max="17" width="41.132813" bestFit="true" customWidth="true" style="0"/>
    <col min="18" max="18" width="24.708252" bestFit="true" customWidth="true" style="0"/>
    <col min="19" max="19" width="39.990234" bestFit="true" customWidth="true" style="0"/>
    <col min="20" max="20" width="51.844482" bestFit="true" customWidth="true" style="0"/>
    <col min="21" max="21" width="41.132813" bestFit="true" customWidth="true" style="0"/>
    <col min="22" max="22" width="41.132813" bestFit="true" customWidth="true" style="0"/>
    <col min="23" max="23" width="41.132813" bestFit="true" customWidth="true" style="0"/>
    <col min="24" max="24" width="43.560791" bestFit="true" customWidth="true" style="0"/>
    <col min="25" max="25" width="26.993408" bestFit="true" customWidth="true" style="0"/>
    <col min="26" max="26" width="35.2771" bestFit="true" customWidth="true" style="0"/>
    <col min="27" max="27" width="48.273926" bestFit="true" customWidth="true" style="0"/>
    <col min="28" max="28" width="13.996582" bestFit="true" customWidth="true" style="0"/>
  </cols>
  <sheetData>
    <row r="3" spans="1:32">
      <c r="B3" s="75" t="s">
        <v>109</v>
      </c>
      <c r="C3" s="74"/>
      <c r="D3" s="74"/>
      <c r="E3" s="74"/>
      <c r="F3" s="74"/>
      <c r="G3" s="74"/>
    </row>
    <row r="5" spans="1:32">
      <c r="B5" s="78" t="s">
        <v>110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59</v>
      </c>
      <c r="M5" s="80" t="s">
        <v>60</v>
      </c>
      <c r="N5" s="80" t="s">
        <v>61</v>
      </c>
      <c r="O5" s="80" t="s">
        <v>62</v>
      </c>
      <c r="P5" s="80" t="s">
        <v>63</v>
      </c>
      <c r="Q5" s="80" t="s">
        <v>64</v>
      </c>
      <c r="R5" s="80" t="s">
        <v>65</v>
      </c>
      <c r="S5" s="80" t="s">
        <v>66</v>
      </c>
      <c r="T5" s="80" t="s">
        <v>67</v>
      </c>
      <c r="U5" s="80" t="s">
        <v>68</v>
      </c>
      <c r="V5" s="80" t="s">
        <v>69</v>
      </c>
      <c r="W5" s="80" t="s">
        <v>70</v>
      </c>
      <c r="X5" s="80" t="s">
        <v>71</v>
      </c>
      <c r="Y5" s="80" t="s">
        <v>72</v>
      </c>
      <c r="Z5" s="80" t="s">
        <v>73</v>
      </c>
      <c r="AA5" s="80" t="s">
        <v>74</v>
      </c>
      <c r="AB5" s="80" t="s">
        <v>111</v>
      </c>
    </row>
    <row r="6" spans="1:32">
      <c r="B6" s="74" t="s">
        <v>112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91</v>
      </c>
      <c r="AE6" s="76" t="s">
        <v>113</v>
      </c>
      <c r="AF6" s="76" t="s">
        <v>114</v>
      </c>
    </row>
    <row r="7" spans="1:32">
      <c r="B7" s="74" t="s">
        <v>115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>
        <v>0.3</v>
      </c>
      <c r="AE7" s="77" t="s">
        <v>19</v>
      </c>
      <c r="AF7" s="77">
        <v>933.33</v>
      </c>
    </row>
    <row r="8" spans="1:32">
      <c r="B8" s="74" t="s">
        <v>116</v>
      </c>
      <c r="C8" s="81">
        <v>17.28</v>
      </c>
      <c r="D8" s="81">
        <v>21.03</v>
      </c>
      <c r="E8" s="81">
        <v>15.94</v>
      </c>
      <c r="F8" s="81">
        <v>14.65</v>
      </c>
      <c r="G8" s="81">
        <v>17.39</v>
      </c>
      <c r="H8" s="81">
        <v>11</v>
      </c>
      <c r="I8" s="81">
        <v>1.8</v>
      </c>
      <c r="J8" s="81">
        <v>1.3884615384615</v>
      </c>
      <c r="K8" s="81">
        <v>7.9</v>
      </c>
      <c r="L8" s="81">
        <v>9.2</v>
      </c>
      <c r="M8" s="81">
        <v>8.6</v>
      </c>
      <c r="N8" s="81">
        <v>4.6</v>
      </c>
      <c r="O8" s="81">
        <v>1.1285714285714</v>
      </c>
      <c r="P8" s="81">
        <v>1.2</v>
      </c>
      <c r="Q8" s="81">
        <v>2.3</v>
      </c>
      <c r="R8" s="81">
        <v>0.85</v>
      </c>
      <c r="S8" s="81">
        <v>1.7</v>
      </c>
      <c r="T8" s="81">
        <v>4.7</v>
      </c>
      <c r="U8" s="81">
        <v>3</v>
      </c>
      <c r="V8" s="81">
        <v>2</v>
      </c>
      <c r="W8" s="81">
        <v>1.5</v>
      </c>
      <c r="X8" s="81">
        <v>14.5</v>
      </c>
      <c r="Y8" s="81">
        <v>2.25</v>
      </c>
      <c r="Z8" s="81">
        <v>14.02</v>
      </c>
      <c r="AA8" s="81">
        <v>5.01</v>
      </c>
      <c r="AB8" s="74"/>
    </row>
    <row r="9" spans="1:32">
      <c r="B9" s="79" t="s">
        <v>117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118</v>
      </c>
      <c r="C10" s="74">
        <v>20</v>
      </c>
      <c r="D10" s="74">
        <v>15</v>
      </c>
      <c r="E10" s="74">
        <v>10</v>
      </c>
      <c r="F10" s="74">
        <v>10</v>
      </c>
      <c r="G10" s="74">
        <v>10</v>
      </c>
      <c r="H10" s="74">
        <v>60</v>
      </c>
      <c r="I10" s="74">
        <v>150</v>
      </c>
      <c r="J10" s="74">
        <v>650</v>
      </c>
      <c r="K10" s="74">
        <v>15</v>
      </c>
      <c r="L10" s="74">
        <v>20</v>
      </c>
      <c r="M10" s="74">
        <v>20</v>
      </c>
      <c r="N10" s="74">
        <v>40</v>
      </c>
      <c r="O10" s="74">
        <v>350</v>
      </c>
      <c r="P10" s="74">
        <v>50</v>
      </c>
      <c r="Q10" s="74">
        <v>70</v>
      </c>
      <c r="R10" s="74">
        <v>150</v>
      </c>
      <c r="S10" s="74">
        <v>1000</v>
      </c>
      <c r="T10" s="74">
        <v>300</v>
      </c>
      <c r="U10" s="74">
        <v>100</v>
      </c>
      <c r="V10" s="74">
        <v>100</v>
      </c>
      <c r="W10" s="74">
        <v>100</v>
      </c>
      <c r="X10" s="74">
        <v>30</v>
      </c>
      <c r="Y10" s="74">
        <v>510</v>
      </c>
      <c r="Z10" s="74">
        <v>200</v>
      </c>
      <c r="AA10" s="74">
        <v>150</v>
      </c>
      <c r="AB10" s="74" t="str">
        <f>SUM(C10:AA10)</f>
        <v>0</v>
      </c>
    </row>
    <row r="11" spans="1:32">
      <c r="B11" s="74" t="s">
        <v>119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120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121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122</v>
      </c>
      <c r="C14" s="81" t="str">
        <f>ROUNDUP(AB14*C13,2)</f>
        <v>0</v>
      </c>
      <c r="D14" s="81" t="str">
        <f>ROUNDUP(AB14*D13,2)</f>
        <v>0</v>
      </c>
      <c r="E14" s="81" t="str">
        <f>ROUNDUP(AB14*E13,2)</f>
        <v>0</v>
      </c>
      <c r="F14" s="81" t="str">
        <f>ROUNDUP(AB14*F13,2)</f>
        <v>0</v>
      </c>
      <c r="G14" s="81" t="str">
        <f>ROUNDUP(AB14*G13,2)</f>
        <v>0</v>
      </c>
      <c r="H14" s="81" t="str">
        <f>ROUNDUP(AB14*H13,2)</f>
        <v>0</v>
      </c>
      <c r="I14" s="81" t="str">
        <f>ROUNDUP(AB14*I13,2)</f>
        <v>0</v>
      </c>
      <c r="J14" s="81" t="str">
        <f>ROUNDUP(AB14*J13,2)</f>
        <v>0</v>
      </c>
      <c r="K14" s="81" t="str">
        <f>ROUNDUP(AB14*K13,2)</f>
        <v>0</v>
      </c>
      <c r="L14" s="81" t="str">
        <f>ROUNDUP(AB14*L13,2)</f>
        <v>0</v>
      </c>
      <c r="M14" s="81" t="str">
        <f>ROUNDUP(AB14*M13,2)</f>
        <v>0</v>
      </c>
      <c r="N14" s="81" t="str">
        <f>ROUNDUP(AB14*N13,2)</f>
        <v>0</v>
      </c>
      <c r="O14" s="81" t="str">
        <f>ROUNDUP(AB14*O13,2)</f>
        <v>0</v>
      </c>
      <c r="P14" s="81" t="str">
        <f>ROUNDUP(AB14*P13,2)</f>
        <v>0</v>
      </c>
      <c r="Q14" s="81" t="str">
        <f>ROUNDUP(AB14*Q13,2)</f>
        <v>0</v>
      </c>
      <c r="R14" s="81" t="str">
        <f>ROUNDUP(AB14*R13,2)</f>
        <v>0</v>
      </c>
      <c r="S14" s="81" t="str">
        <f>ROUNDUP(AB14*S13,2)</f>
        <v>0</v>
      </c>
      <c r="T14" s="81" t="str">
        <f>ROUNDUP(AB14*T13,2)</f>
        <v>0</v>
      </c>
      <c r="U14" s="81" t="str">
        <f>ROUNDUP(AB14*U13,2)</f>
        <v>0</v>
      </c>
      <c r="V14" s="81" t="str">
        <f>ROUNDUP(AB14*V13,2)</f>
        <v>0</v>
      </c>
      <c r="W14" s="81" t="str">
        <f>ROUNDUP(AB14*W13,2)</f>
        <v>0</v>
      </c>
      <c r="X14" s="81" t="str">
        <f>ROUNDUP(AB14*X13,2)</f>
        <v>0</v>
      </c>
      <c r="Y14" s="81" t="str">
        <f>ROUNDUP(AB14*Y13,2)</f>
        <v>0</v>
      </c>
      <c r="Z14" s="81" t="str">
        <f>ROUNDUP(AB14*Z13,2)</f>
        <v>0</v>
      </c>
      <c r="AA14" s="81" t="str">
        <f>ROUNDUP(AB14*AA13,2)</f>
        <v>0</v>
      </c>
      <c r="AB14" s="86" t="str">
        <f>IF(AB7&lt;1, ROUNDUP(AF7*0.6, 0), ROUNDUP(AF7*0.6*AB7, 0))</f>
        <v>0</v>
      </c>
    </row>
    <row r="15" spans="1:32">
      <c r="B15" s="74" t="s">
        <v>123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1" t="str">
        <f>ROUNDUP(V11+V14,2)</f>
        <v>0</v>
      </c>
      <c r="W15" s="81" t="str">
        <f>ROUNDUP(W11+W14,2)</f>
        <v>0</v>
      </c>
      <c r="X15" s="81" t="str">
        <f>ROUNDUP(X11+X14,2)</f>
        <v>0</v>
      </c>
      <c r="Y15" s="81" t="str">
        <f>ROUNDUP(Y11+Y14,2)</f>
        <v>0</v>
      </c>
      <c r="Z15" s="81" t="str">
        <f>ROUNDUP(Z11+Z14,2)</f>
        <v>0</v>
      </c>
      <c r="AA15" s="81" t="str">
        <f>ROUNDUP(AA11+AA14,2)</f>
        <v>0</v>
      </c>
      <c r="AB15" s="86" t="str">
        <f>SUM(C15:AA15)</f>
        <v>0</v>
      </c>
    </row>
    <row r="16" spans="1:32">
      <c r="B16" s="79" t="s">
        <v>124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1" t="str">
        <f>ROUNDUP(V12+V14,2)</f>
        <v>0</v>
      </c>
      <c r="W16" s="81" t="str">
        <f>ROUNDUP(W12+W14,2)</f>
        <v>0</v>
      </c>
      <c r="X16" s="81" t="str">
        <f>ROUNDUP(X12+X14,2)</f>
        <v>0</v>
      </c>
      <c r="Y16" s="81" t="str">
        <f>ROUNDUP(Y12+Y14,2)</f>
        <v>0</v>
      </c>
      <c r="Z16" s="81" t="str">
        <f>ROUNDUP(Z12+Z14,2)</f>
        <v>0</v>
      </c>
      <c r="AA16" s="81" t="str">
        <f>ROUNDUP(AA12+AA14,2)</f>
        <v>0</v>
      </c>
      <c r="AB16" s="86" t="str">
        <f>SUM(C16:AA16)</f>
        <v>0</v>
      </c>
    </row>
    <row r="17" spans="1:32">
      <c r="B17" s="74" t="s">
        <v>125</v>
      </c>
      <c r="C17" s="81" t="str">
        <f>IF(AB15&gt;5000,ROUND(100*C13,2),ROUND(50*C13,2))</f>
        <v>0</v>
      </c>
      <c r="D17" s="81" t="str">
        <f>IF(AB15&gt;5000,ROUND(100*D13,2),ROUND(50*D13,2))</f>
        <v>0</v>
      </c>
      <c r="E17" s="81" t="str">
        <f>IF(AB15&gt;5000,ROUND(100*E13,2),ROUND(50*E13,2))</f>
        <v>0</v>
      </c>
      <c r="F17" s="81" t="str">
        <f>IF(AB15&gt;5000,ROUND(100*F13,2),ROUND(50*F13,2))</f>
        <v>0</v>
      </c>
      <c r="G17" s="81" t="str">
        <f>IF(AB15&gt;5000,ROUND(100*G13,2),ROUND(50*G13,2))</f>
        <v>0</v>
      </c>
      <c r="H17" s="81" t="str">
        <f>IF(AB15&gt;5000,ROUND(100*H13,2),ROUND(50*H13,2))</f>
        <v>0</v>
      </c>
      <c r="I17" s="81" t="str">
        <f>IF(AB15&gt;5000,ROUND(100*I13,2),ROUND(50*I13,2))</f>
        <v>0</v>
      </c>
      <c r="J17" s="81" t="str">
        <f>IF(AB15&gt;5000,ROUND(100*J13,2),ROUND(50*J13,2))</f>
        <v>0</v>
      </c>
      <c r="K17" s="81" t="str">
        <f>IF(AB15&gt;5000,ROUND(100*K13,2),ROUND(50*K13,2))</f>
        <v>0</v>
      </c>
      <c r="L17" s="81" t="str">
        <f>IF(AB15&gt;5000,ROUND(100*L13,2),ROUND(50*L13,2))</f>
        <v>0</v>
      </c>
      <c r="M17" s="81" t="str">
        <f>IF(AB15&gt;5000,ROUND(100*M13,2),ROUND(50*M13,2))</f>
        <v>0</v>
      </c>
      <c r="N17" s="81" t="str">
        <f>IF(AB15&gt;5000,ROUND(100*N13,2),ROUND(50*N13,2))</f>
        <v>0</v>
      </c>
      <c r="O17" s="81" t="str">
        <f>IF(AB15&gt;5000,ROUND(100*O13,2),ROUND(50*O13,2))</f>
        <v>0</v>
      </c>
      <c r="P17" s="81" t="str">
        <f>IF(AB15&gt;5000,ROUND(100*P13,2),ROUND(50*P13,2))</f>
        <v>0</v>
      </c>
      <c r="Q17" s="81" t="str">
        <f>IF(AB15&gt;5000,ROUND(100*Q13,2),ROUND(50*Q13,2))</f>
        <v>0</v>
      </c>
      <c r="R17" s="81" t="str">
        <f>IF(AB15&gt;5000,ROUND(100*R13,2),ROUND(50*R13,2))</f>
        <v>0</v>
      </c>
      <c r="S17" s="81" t="str">
        <f>IF(AB15&gt;5000,ROUND(100*S13,2),ROUND(50*S13,2))</f>
        <v>0</v>
      </c>
      <c r="T17" s="81" t="str">
        <f>IF(AB15&gt;5000,ROUND(100*T13,2),ROUND(50*T13,2))</f>
        <v>0</v>
      </c>
      <c r="U17" s="81" t="str">
        <f>IF(AB15&gt;5000,ROUND(100*U13,2),ROUND(50*U13,2))</f>
        <v>0</v>
      </c>
      <c r="V17" s="81" t="str">
        <f>IF(AB15&gt;5000,ROUND(100*V13,2),ROUND(50*V13,2))</f>
        <v>0</v>
      </c>
      <c r="W17" s="81" t="str">
        <f>IF(AB15&gt;5000,ROUND(100*W13,2),ROUND(50*W13,2))</f>
        <v>0</v>
      </c>
      <c r="X17" s="81" t="str">
        <f>IF(AB15&gt;5000,ROUND(100*X13,2),ROUND(50*X13,2))</f>
        <v>0</v>
      </c>
      <c r="Y17" s="81" t="str">
        <f>IF(AB15&gt;5000,ROUND(100*Y13,2),ROUND(50*Y13,2))</f>
        <v>0</v>
      </c>
      <c r="Z17" s="81" t="str">
        <f>IF(AB15&gt;5000,ROUND(100*Z13,2),ROUND(50*Z13,2))</f>
        <v>0</v>
      </c>
      <c r="AA17" s="81" t="str">
        <f>IF(AB15&gt;5000,ROUND(100*AA13,2),ROUND(50*AA13,2))</f>
        <v>0</v>
      </c>
      <c r="AB17" s="86" t="str">
        <f>SUM(C17:AA17)</f>
        <v>0</v>
      </c>
    </row>
    <row r="18" spans="1:32">
      <c r="B18" s="74" t="s">
        <v>126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1" t="str">
        <f>ROUNDUP(V15+V17,2)</f>
        <v>0</v>
      </c>
      <c r="W18" s="81" t="str">
        <f>ROUNDUP(W15+W17,2)</f>
        <v>0</v>
      </c>
      <c r="X18" s="81" t="str">
        <f>ROUNDUP(X15+X17,2)</f>
        <v>0</v>
      </c>
      <c r="Y18" s="81" t="str">
        <f>ROUNDUP(Y15+Y17,2)</f>
        <v>0</v>
      </c>
      <c r="Z18" s="81" t="str">
        <f>ROUNDUP(Z15+Z17,2)</f>
        <v>0</v>
      </c>
      <c r="AA18" s="81" t="str">
        <f>ROUNDUP(AA15+AA17,2)</f>
        <v>0</v>
      </c>
      <c r="AB18" s="86" t="str">
        <f>SUM(C18:AA18)</f>
        <v>0</v>
      </c>
    </row>
    <row r="19" spans="1:32">
      <c r="B19" s="79" t="s">
        <v>127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1" t="str">
        <f>ROUNDUP(V16+V17,2)</f>
        <v>0</v>
      </c>
      <c r="W19" s="81" t="str">
        <f>ROUNDUP(W16+W17,2)</f>
        <v>0</v>
      </c>
      <c r="X19" s="81" t="str">
        <f>ROUNDUP(X16+X17,2)</f>
        <v>0</v>
      </c>
      <c r="Y19" s="81" t="str">
        <f>ROUNDUP(Y16+Y17,2)</f>
        <v>0</v>
      </c>
      <c r="Z19" s="81" t="str">
        <f>ROUNDUP(Z16+Z17,2)</f>
        <v>0</v>
      </c>
      <c r="AA19" s="81" t="str">
        <f>ROUNDUP(AA16+AA17,2)</f>
        <v>0</v>
      </c>
      <c r="AB19" s="86" t="str">
        <f>SUM(C19:AA19)</f>
        <v>0</v>
      </c>
    </row>
    <row r="23" spans="1:32">
      <c r="B23" s="75" t="s">
        <v>128</v>
      </c>
      <c r="C23" s="74"/>
      <c r="D23" s="74"/>
      <c r="E23" s="74"/>
    </row>
    <row r="26" spans="1:32">
      <c r="B26" s="74" t="s">
        <v>129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130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32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33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131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132</v>
      </c>
      <c r="C37" s="74"/>
      <c r="D37" s="74"/>
      <c r="E37" s="74"/>
    </row>
    <row r="40" spans="1:32">
      <c r="B40" s="74" t="s">
        <v>133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ROUNDUP(AF7*0.4, 0), ROUNDUP(AF7*0.4*AB7, 0))</f>
        <v>0</v>
      </c>
    </row>
    <row r="41" spans="1:32">
      <c r="B41"/>
    </row>
    <row r="43" spans="1:32">
      <c r="B43" s="74" t="s">
        <v>133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59</v>
      </c>
      <c r="M43" s="74" t="s">
        <v>60</v>
      </c>
      <c r="N43" s="74" t="s">
        <v>61</v>
      </c>
      <c r="O43" s="74" t="s">
        <v>62</v>
      </c>
      <c r="P43" s="74" t="s">
        <v>63</v>
      </c>
      <c r="Q43" s="74" t="s">
        <v>64</v>
      </c>
      <c r="R43" s="74" t="s">
        <v>65</v>
      </c>
      <c r="S43" s="74" t="s">
        <v>66</v>
      </c>
      <c r="T43" s="74" t="s">
        <v>67</v>
      </c>
      <c r="U43" s="74" t="s">
        <v>68</v>
      </c>
      <c r="V43" s="74" t="s">
        <v>69</v>
      </c>
      <c r="W43" s="74" t="s">
        <v>70</v>
      </c>
      <c r="X43" s="74" t="s">
        <v>71</v>
      </c>
      <c r="Y43" s="74" t="s">
        <v>72</v>
      </c>
      <c r="Z43" s="74" t="s">
        <v>73</v>
      </c>
      <c r="AA43" s="74" t="s">
        <v>74</v>
      </c>
      <c r="AB43" s="74" t="s">
        <v>111</v>
      </c>
    </row>
    <row r="44" spans="1:32">
      <c r="B44" s="74" t="s">
        <v>134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SUM(V15,V40,V32,(V26*V10))</f>
        <v>0</v>
      </c>
      <c r="W44" s="81" t="str">
        <f>SUM(W15,W40,W32,(W26*W10))</f>
        <v>0</v>
      </c>
      <c r="X44" s="81" t="str">
        <f>SUM(X15,X40,X32,(X26*X10))</f>
        <v>0</v>
      </c>
      <c r="Y44" s="81" t="str">
        <f>SUM(Y15,Y40,Y32,(Y26*Y10))</f>
        <v>0</v>
      </c>
      <c r="Z44" s="81" t="str">
        <f>SUM(Z15,Z40,Z32,(Z26*Z10))</f>
        <v>0</v>
      </c>
      <c r="AA44" s="81" t="str">
        <f>SUM(AA15,AA40,AA32,(AA26*AA10))</f>
        <v>0</v>
      </c>
      <c r="AB44" s="81" t="str">
        <f>SUM(C44:AA44)</f>
        <v>0</v>
      </c>
    </row>
    <row r="45" spans="1:32">
      <c r="B45" s="74" t="s">
        <v>46</v>
      </c>
      <c r="C45" s="74">
        <v>20</v>
      </c>
      <c r="D45" s="74">
        <v>15</v>
      </c>
      <c r="E45" s="74">
        <v>10</v>
      </c>
      <c r="F45" s="74">
        <v>10</v>
      </c>
      <c r="G45" s="74">
        <v>10</v>
      </c>
      <c r="H45" s="74">
        <v>60</v>
      </c>
      <c r="I45" s="74">
        <v>150</v>
      </c>
      <c r="J45" s="74">
        <v>650</v>
      </c>
      <c r="K45" s="74">
        <v>15</v>
      </c>
      <c r="L45" s="74">
        <v>20</v>
      </c>
      <c r="M45" s="74">
        <v>20</v>
      </c>
      <c r="N45" s="74">
        <v>40</v>
      </c>
      <c r="O45" s="74">
        <v>350</v>
      </c>
      <c r="P45" s="74">
        <v>50</v>
      </c>
      <c r="Q45" s="74">
        <v>70</v>
      </c>
      <c r="R45" s="74">
        <v>150</v>
      </c>
      <c r="S45" s="74">
        <v>1000</v>
      </c>
      <c r="T45" s="74">
        <v>300</v>
      </c>
      <c r="U45" s="74">
        <v>100</v>
      </c>
      <c r="V45" s="74">
        <v>100</v>
      </c>
      <c r="W45" s="74">
        <v>100</v>
      </c>
      <c r="X45" s="74">
        <v>30</v>
      </c>
      <c r="Y45" s="74">
        <v>510</v>
      </c>
      <c r="Z45" s="74">
        <v>200</v>
      </c>
      <c r="AA45" s="74">
        <v>150</v>
      </c>
      <c r="AB45" s="74"/>
    </row>
    <row r="46" spans="1:32">
      <c r="B46" s="74" t="s">
        <v>135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81" t="str">
        <f>ROUND(SUM(V44/V45),2)</f>
        <v>0</v>
      </c>
      <c r="W46" s="81" t="str">
        <f>ROUND(SUM(W44/W45),2)</f>
        <v>0</v>
      </c>
      <c r="X46" s="81" t="str">
        <f>ROUND(SUM(X44/X45),2)</f>
        <v>0</v>
      </c>
      <c r="Y46" s="81" t="str">
        <f>ROUND(SUM(Y44/Y45),2)</f>
        <v>0</v>
      </c>
      <c r="Z46" s="81" t="str">
        <f>ROUND(SUM(Z44/Z45),2)</f>
        <v>0</v>
      </c>
      <c r="AA46" s="81" t="str">
        <f>ROUND(SUM(AA44/AA45),2)</f>
        <v>0</v>
      </c>
      <c r="AB46" s="74"/>
    </row>
    <row r="47" spans="1:32">
      <c r="B47" s="74" t="s">
        <v>136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85" t="str">
        <f>ROUND(V46*3.7,2)</f>
        <v>0</v>
      </c>
      <c r="W47" s="85" t="str">
        <f>ROUND(W46*3.7,2)</f>
        <v>0</v>
      </c>
      <c r="X47" s="85" t="str">
        <f>ROUND(X46*3.7,2)</f>
        <v>0</v>
      </c>
      <c r="Y47" s="85" t="str">
        <f>ROUND(Y46*3.7,2)</f>
        <v>0</v>
      </c>
      <c r="Z47" s="85" t="str">
        <f>ROUND(Z46*3.7,2)</f>
        <v>0</v>
      </c>
      <c r="AA47" s="85" t="str">
        <f>ROUND(AA46*3.7,2)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