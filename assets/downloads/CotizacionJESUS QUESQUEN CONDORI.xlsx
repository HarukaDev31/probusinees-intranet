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<sst xmlns="http://schemas.openxmlformats.org/spreadsheetml/2006/main" uniqueCount="115">
  <si>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</si>
  <si>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</si>
  <si>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</si>
  <si>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</si>
  <si>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JESUS QUESQUEN CONDORI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</si>
  <si>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</si>
  <si>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</si>
  <si>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</si>
  <si>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</si>
  <si>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</si>
  <si>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</si>
  <si>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</si>
  <si>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</si>
  <si>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</si>
  <si>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</si>
  <si>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</si>
  <si>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</si>
  <si>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</si>
  <si>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</si>
  <si>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</si>
  <si>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</si>
  <si>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</si>
  <si>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</si>
  <si>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</si>
  <si>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</si>
  <si>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</si>
  <si>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</si>
  <si>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</si>
  <si>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</si>
  <si>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</si>
  <si>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JESUS QUESQUEN CONDORI 😁 un gusto saludarte!
        A continuación te envío la cotización final de tu importación📋📦.
        🙋‍♂️ PAGO PENDIENTE :
        ☑️Costo CBM: $0
        ☑️Impuestos: $699.31
        ☑️ Total: $699.31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</si>
  <si>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</si>
  <si>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</si>
  <si>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</si>
  <si>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</si>
  <si>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</si>
  <si>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</si>
  <si>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</si>
  <si>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</si>
  <si>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</si>
  <si>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</si>
  <si>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</si>
  <si>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</si>
  <si>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</si>
  <si>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</si>
  <si>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</si>
  <si>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</si>
  <si>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</si>
  <si>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</si>
  <si>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CINTURON DE SEGURIDAD DE 3 PUNTOS</t>
  </si>
  <si>
    <t>CINTURÓN DE SEGURIDAD DE 2 PUNTOS RETRACTIL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</si>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</sst>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9.png"/><Relationship Id="rId2" Type="http://schemas.openxmlformats.org/officeDocument/2006/relationships/image" Target="../media/image130.png"/><Relationship Id="rId3" Type="http://schemas.openxmlformats.org/officeDocument/2006/relationships/image" Target="../media/image23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/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/>
      <c r="D11" s="44"/>
      <c r="E11" s="28" t="s">
        <v>17</v>
      </c>
      <c r="F11" s="57" t="s">
        <v>18</v>
      </c>
      <c r="G11" s="74"/>
      <c r="H11" s="42"/>
      <c r="I11" s="1" t="s">
        <v>19</v>
      </c>
      <c r="J11" s="103" t="str">
        <f>'2'!E7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12" t="s">
        <v>21</v>
      </c>
      <c r="L13" s="12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7" t="str">
        <f>'2'!E11</f>
        <v>0</v>
      </c>
      <c r="L14" s="11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8" t="str">
        <f>'2'!E14 + '2'!E17</f>
        <v>0</v>
      </c>
      <c r="L15" s="14" t="s">
        <v>24</v>
      </c>
    </row>
    <row r="16" spans="1:14">
      <c r="B16" s="60" t="s">
        <v>26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24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27</v>
      </c>
      <c r="C19" s="78"/>
      <c r="D19" s="78"/>
      <c r="E19" s="78"/>
      <c r="F19" s="78"/>
      <c r="G19" s="21"/>
      <c r="H19" s="21"/>
      <c r="I19" s="21"/>
      <c r="J19" s="12" t="s">
        <v>28</v>
      </c>
      <c r="K19" s="12" t="s">
        <v>21</v>
      </c>
      <c r="L19" s="12" t="s">
        <v>22</v>
      </c>
    </row>
    <row r="20" spans="1:14">
      <c r="B20" s="58" t="s">
        <v>29</v>
      </c>
      <c r="C20" s="58"/>
      <c r="D20" s="58"/>
      <c r="E20" s="58"/>
      <c r="F20" s="58"/>
      <c r="G20" s="58"/>
      <c r="H20" s="58"/>
      <c r="I20" s="58"/>
      <c r="J20" s="23" t="str">
        <f>MAX('2'!C27:D27)</f>
        <v>0</v>
      </c>
      <c r="K20" s="17" t="str">
        <f>'2'!E28</f>
        <v>0</v>
      </c>
      <c r="L20" s="11" t="s">
        <v>24</v>
      </c>
      <c r="N20" t="s">
        <v>30</v>
      </c>
    </row>
    <row r="21" spans="1:14">
      <c r="B21" s="58" t="s">
        <v>31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'2'!E29</f>
        <v>0</v>
      </c>
      <c r="L21" s="11" t="s">
        <v>24</v>
      </c>
    </row>
    <row r="22" spans="1:14">
      <c r="B22" s="57" t="s">
        <v>32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'2'!E30</f>
        <v>0</v>
      </c>
      <c r="L22" s="11" t="s">
        <v>24</v>
      </c>
    </row>
    <row r="23" spans="1:14">
      <c r="B23" s="60" t="s">
        <v>33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24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34</v>
      </c>
      <c r="C25" s="57"/>
      <c r="D25" s="57"/>
      <c r="E25" s="57"/>
      <c r="F25" s="57"/>
      <c r="G25" s="57"/>
      <c r="H25" s="57"/>
      <c r="I25" s="57"/>
      <c r="J25" s="24" t="s">
        <v>35</v>
      </c>
      <c r="K25" s="18" t="str">
        <f>'2'!E31</f>
        <v>0</v>
      </c>
      <c r="L25" s="14" t="s">
        <v>24</v>
      </c>
    </row>
    <row r="26" spans="1:14">
      <c r="B26" s="60" t="s">
        <v>36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37</v>
      </c>
      <c r="C28" s="61"/>
      <c r="D28" s="61"/>
      <c r="E28" s="61"/>
      <c r="F28" s="61"/>
      <c r="G28" s="61"/>
      <c r="H28" s="61"/>
      <c r="I28" s="61"/>
      <c r="J28" s="61"/>
      <c r="K28" s="32" t="s">
        <v>21</v>
      </c>
      <c r="L28" s="32" t="s">
        <v>22</v>
      </c>
    </row>
    <row r="29" spans="1:14">
      <c r="B29" s="58" t="s">
        <v>38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24</v>
      </c>
    </row>
    <row r="30" spans="1:14">
      <c r="B30" s="58" t="s">
        <v>39</v>
      </c>
      <c r="C30" s="58"/>
      <c r="D30" s="58"/>
      <c r="E30" s="58"/>
      <c r="F30" s="58"/>
      <c r="G30" s="58"/>
      <c r="H30" s="58"/>
      <c r="I30" s="58"/>
      <c r="J30" s="58"/>
      <c r="K30" s="17" t="str">
        <f>IF('2'!I7&lt;1, '2'!I7*J11, '2'!I7*J11)</f>
        <v>0</v>
      </c>
      <c r="L30" s="11" t="s">
        <v>24</v>
      </c>
    </row>
    <row r="31" spans="1:14">
      <c r="B31" s="57" t="s">
        <v>40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24</v>
      </c>
    </row>
    <row r="32" spans="1:14">
      <c r="B32" s="60" t="s">
        <v>41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24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43</v>
      </c>
      <c r="C35" s="65" t="s">
        <v>44</v>
      </c>
      <c r="D35" s="66"/>
      <c r="E35" s="67"/>
      <c r="F35" s="6" t="s">
        <v>45</v>
      </c>
      <c r="G35" s="65" t="s">
        <v>46</v>
      </c>
      <c r="H35" s="67"/>
      <c r="I35" s="5" t="s">
        <v>47</v>
      </c>
      <c r="J35" s="30" t="s">
        <v>36</v>
      </c>
      <c r="K35" s="56" t="s">
        <v>48</v>
      </c>
      <c r="L35" s="56"/>
    </row>
    <row r="36" spans="1:14">
      <c r="B36" s="7">
        <v>1</v>
      </c>
      <c r="C36" s="7" t="s">
        <v>49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7">
        <v>2</v>
      </c>
      <c r="C37" s="7" t="s">
        <v>50</v>
      </c>
      <c r="D37" s="7"/>
      <c r="E37" s="7"/>
      <c r="F37" s="7" t="str">
        <f>'2'!D10</f>
        <v>0</v>
      </c>
      <c r="G37" s="97" t="str">
        <f>'2'!D8</f>
        <v>0</v>
      </c>
      <c r="H37" s="8"/>
      <c r="I37" s="97" t="str">
        <f>'2'!D46</f>
        <v>0</v>
      </c>
      <c r="J37" s="97" t="str">
        <f>'2'!D44</f>
        <v>0</v>
      </c>
      <c r="K37" s="98" t="str">
        <f>'2'!D47</f>
        <v>0</v>
      </c>
      <c r="L37" s="56"/>
      <c r="M37" s="1"/>
    </row>
    <row r="38" spans="1:14">
      <c r="B38" s="102" t="s">
        <v>36</v>
      </c>
      <c r="C38" s="6"/>
      <c r="D38" s="6"/>
      <c r="E38" s="6"/>
      <c r="F38" s="7" t="str">
        <f>SUM(F36:F37)</f>
        <v>0</v>
      </c>
      <c r="G38" s="4"/>
      <c r="H38" s="4"/>
      <c r="I38" s="3"/>
      <c r="J38" s="97" t="str">
        <f>SUM(J36:J37)</f>
        <v>0</v>
      </c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8:E38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252" bestFit="true" customWidth="true" style="0"/>
    <col min="3" max="3" width="39.990234" bestFit="true" customWidth="true" style="0"/>
    <col min="4" max="4" width="51.844482" bestFit="true" customWidth="true" style="0"/>
    <col min="5" max="5" width="12.854004" bestFit="true" customWidth="true" style="0"/>
  </cols>
  <sheetData>
    <row r="3" spans="1:9">
      <c r="B3" s="84" t="s">
        <v>87</v>
      </c>
      <c r="C3" s="83"/>
      <c r="D3" s="83"/>
      <c r="E3" s="83"/>
      <c r="F3" s="83"/>
      <c r="G3" s="83"/>
    </row>
    <row r="5" spans="1:9">
      <c r="B5" s="87" t="s">
        <v>88</v>
      </c>
      <c r="C5" s="89" t="s">
        <v>49</v>
      </c>
      <c r="D5" s="89" t="s">
        <v>50</v>
      </c>
      <c r="E5" s="89" t="s">
        <v>89</v>
      </c>
    </row>
    <row r="6" spans="1:9">
      <c r="B6" s="83" t="s">
        <v>90</v>
      </c>
      <c r="C6" s="83">
        <v>0</v>
      </c>
      <c r="D6" s="83">
        <v>0</v>
      </c>
      <c r="E6" s="91">
        <v>0</v>
      </c>
      <c r="H6" s="85" t="s">
        <v>91</v>
      </c>
      <c r="I6" s="85" t="s">
        <v>92</v>
      </c>
    </row>
    <row r="7" spans="1:9">
      <c r="B7" s="83" t="s">
        <v>93</v>
      </c>
      <c r="C7" s="83">
        <v>0</v>
      </c>
      <c r="D7" s="83">
        <v>0</v>
      </c>
      <c r="E7" s="92"/>
      <c r="H7" s="86" t="s">
        <v>18</v>
      </c>
      <c r="I7" s="86"/>
    </row>
    <row r="8" spans="1:9">
      <c r="B8" s="83" t="s">
        <v>94</v>
      </c>
      <c r="C8" s="90">
        <v>1.7</v>
      </c>
      <c r="D8" s="90">
        <v>4.7</v>
      </c>
      <c r="E8" s="83"/>
    </row>
    <row r="9" spans="1:9">
      <c r="B9" s="88" t="s">
        <v>95</v>
      </c>
      <c r="C9" s="90">
        <v>0</v>
      </c>
      <c r="D9" s="90">
        <v>0</v>
      </c>
      <c r="E9" s="83"/>
    </row>
    <row r="10" spans="1:9">
      <c r="B10" s="83" t="s">
        <v>96</v>
      </c>
      <c r="C10" s="83">
        <v>1000</v>
      </c>
      <c r="D10" s="83">
        <v>300</v>
      </c>
      <c r="E10" s="83" t="str">
        <f>SUM(C10:D10)</f>
        <v>0</v>
      </c>
    </row>
    <row r="11" spans="1:9">
      <c r="B11" s="83" t="s">
        <v>97</v>
      </c>
      <c r="C11" s="90" t="str">
        <f>C8*C10</f>
        <v>0</v>
      </c>
      <c r="D11" s="90" t="str">
        <f>D8*D10</f>
        <v>0</v>
      </c>
      <c r="E11" s="95" t="str">
        <f>SUM(C11:D11)</f>
        <v>0</v>
      </c>
    </row>
    <row r="12" spans="1:9">
      <c r="B12" s="88" t="s">
        <v>98</v>
      </c>
      <c r="C12" s="90" t="str">
        <f>C10*C9</f>
        <v>0</v>
      </c>
      <c r="D12" s="90" t="str">
        <f>D10*D9</f>
        <v>0</v>
      </c>
      <c r="E12" s="95" t="str">
        <f>SUM(C12:D12)</f>
        <v>0</v>
      </c>
    </row>
    <row r="13" spans="1:9">
      <c r="B13" s="83" t="s">
        <v>99</v>
      </c>
      <c r="C13" s="93" t="str">
        <f>C11/E11</f>
        <v>0</v>
      </c>
      <c r="D13" s="93" t="str">
        <f>D11/E11</f>
        <v>0</v>
      </c>
      <c r="E13" s="83"/>
    </row>
    <row r="14" spans="1:9">
      <c r="B14" s="83" t="s">
        <v>100</v>
      </c>
      <c r="C14" s="90" t="str">
        <f>ROUNDUP(E14*C13,2)</f>
        <v>0</v>
      </c>
      <c r="D14" s="90" t="str">
        <f>ROUNDUP(E14*D13,2)</f>
        <v>0</v>
      </c>
      <c r="E14" s="95" t="str">
        <f>IF(E7&lt;1, ROUNDUP(I7*0.6, 0), ROUNDUP(I7*0.6*E7, 0))</f>
        <v>0</v>
      </c>
    </row>
    <row r="15" spans="1:9">
      <c r="B15" s="83" t="s">
        <v>101</v>
      </c>
      <c r="C15" s="90" t="str">
        <f>ROUNDUP(C11+C14,2)</f>
        <v>0</v>
      </c>
      <c r="D15" s="90" t="str">
        <f>ROUNDUP(D11+D14,2)</f>
        <v>0</v>
      </c>
      <c r="E15" s="95" t="str">
        <f>SUM(C15:D15)</f>
        <v>0</v>
      </c>
    </row>
    <row r="16" spans="1:9">
      <c r="B16" s="88" t="s">
        <v>102</v>
      </c>
      <c r="C16" s="90" t="str">
        <f>ROUNDUP(C12+C14,2)</f>
        <v>0</v>
      </c>
      <c r="D16" s="90" t="str">
        <f>ROUNDUP(D12+D14,2)</f>
        <v>0</v>
      </c>
      <c r="E16" s="95" t="str">
        <f>SUM(C16:D16)</f>
        <v>0</v>
      </c>
    </row>
    <row r="17" spans="1:9">
      <c r="B17" s="83" t="s">
        <v>103</v>
      </c>
      <c r="C17" s="90" t="str">
        <f>IF(E15&gt;5000,ROUND(100*C13,2),ROUND(50*C13,2))</f>
        <v>0</v>
      </c>
      <c r="D17" s="90" t="str">
        <f>IF(E15&gt;5000,ROUND(100*D13,2),ROUND(50*D13,2))</f>
        <v>0</v>
      </c>
      <c r="E17" s="95" t="str">
        <f>SUM(C17:D17)</f>
        <v>0</v>
      </c>
    </row>
    <row r="18" spans="1:9">
      <c r="B18" s="83" t="s">
        <v>104</v>
      </c>
      <c r="C18" s="90" t="str">
        <f>ROUNDUP(C15+C17,2)</f>
        <v>0</v>
      </c>
      <c r="D18" s="90" t="str">
        <f>ROUNDUP(D15+D17,2)</f>
        <v>0</v>
      </c>
      <c r="E18" s="95" t="str">
        <f>SUM(C18:D18)</f>
        <v>0</v>
      </c>
    </row>
    <row r="19" spans="1:9">
      <c r="B19" s="88" t="s">
        <v>105</v>
      </c>
      <c r="C19" s="90" t="str">
        <f>ROUNDUP(C16+C17,2)</f>
        <v>0</v>
      </c>
      <c r="D19" s="90" t="str">
        <f>ROUNDUP(D16+D17,2)</f>
        <v>0</v>
      </c>
      <c r="E19" s="95" t="str">
        <f>SUM(C19:D19)</f>
        <v>0</v>
      </c>
    </row>
    <row r="23" spans="1:9">
      <c r="B23" s="84" t="s">
        <v>106</v>
      </c>
      <c r="C23" s="83"/>
      <c r="D23" s="83"/>
      <c r="E23" s="83"/>
    </row>
    <row r="26" spans="1:9">
      <c r="B26" s="83" t="s">
        <v>107</v>
      </c>
      <c r="C26" s="90">
        <v>0</v>
      </c>
      <c r="D26" s="90">
        <v>0</v>
      </c>
      <c r="E26" s="90" t="str">
        <f>SUM(C26:D26)</f>
        <v>0</v>
      </c>
    </row>
    <row r="27" spans="1:9">
      <c r="C27" s="96">
        <v>0</v>
      </c>
      <c r="D27" s="96">
        <v>0</v>
      </c>
      <c r="E27" s="93" t="str">
        <f>SUM(C27:D27)</f>
        <v>0</v>
      </c>
    </row>
    <row r="28" spans="1:9">
      <c r="B28" s="83" t="s">
        <v>108</v>
      </c>
      <c r="C28" s="90" t="str">
        <f>MAX(C19,C18)*C27</f>
        <v>0</v>
      </c>
      <c r="D28" s="90" t="str">
        <f>MAX(D19,D18)*D27</f>
        <v>0</v>
      </c>
      <c r="E28" s="90" t="str">
        <f>SUM(C28:D28)</f>
        <v>0</v>
      </c>
    </row>
    <row r="29" spans="1:9">
      <c r="B29" s="83" t="s">
        <v>31</v>
      </c>
      <c r="C29" s="90" t="str">
        <f>0.16*(MAX(C19,C18)+C28)</f>
        <v>0</v>
      </c>
      <c r="D29" s="90" t="str">
        <f>0.16*(MAX(D19,D18)+D28)</f>
        <v>0</v>
      </c>
      <c r="E29" s="90" t="str">
        <f>SUM(C29:D29)</f>
        <v>0</v>
      </c>
    </row>
    <row r="30" spans="1:9">
      <c r="B30" s="83" t="s">
        <v>32</v>
      </c>
      <c r="C30" s="90" t="str">
        <f>0.02*(MAX(C19,C18)+C28)</f>
        <v>0</v>
      </c>
      <c r="D30" s="90" t="str">
        <f>0.02*(MAX(D19,D18)+D28)</f>
        <v>0</v>
      </c>
      <c r="E30" s="90" t="str">
        <f>SUM(C30:D30)</f>
        <v>0</v>
      </c>
    </row>
    <row r="31" spans="1:9">
      <c r="B31" s="83" t="s">
        <v>109</v>
      </c>
      <c r="C31" s="90" t="str">
        <f>0.035*(MAX(C18,C19) +C28+C29+C30)</f>
        <v>0</v>
      </c>
      <c r="D31" s="90" t="str">
        <f>0.035*(MAX(D18,D19) +D28+D29+D30)</f>
        <v>0</v>
      </c>
      <c r="E31" s="90" t="str">
        <f>SUM(C31:D31)</f>
        <v>0</v>
      </c>
    </row>
    <row r="32" spans="1:9">
      <c r="B32" s="83" t="s">
        <v>36</v>
      </c>
      <c r="C32" s="90" t="str">
        <f>SUM(C28:C31)</f>
        <v>0</v>
      </c>
      <c r="D32" s="90" t="str">
        <f>SUM(D28:D31)</f>
        <v>0</v>
      </c>
      <c r="E32" s="90" t="str">
        <f>SUM(E28:E31)</f>
        <v>0</v>
      </c>
    </row>
    <row r="37" spans="1:9">
      <c r="B37" s="84" t="s">
        <v>110</v>
      </c>
      <c r="C37" s="83"/>
      <c r="D37" s="83"/>
      <c r="E37" s="83"/>
    </row>
    <row r="40" spans="1:9">
      <c r="B40" s="83" t="s">
        <v>111</v>
      </c>
      <c r="C40" s="90" t="str">
        <f>C13*E40</f>
        <v>0</v>
      </c>
      <c r="D40" s="90" t="str">
        <f>D13*E40</f>
        <v>0</v>
      </c>
      <c r="E40" s="90" t="str">
        <f>IF(E7&lt;1, ROUNDUP(I7*0.4, 0), ROUNDUP(I7*0.4*E7, 0))</f>
        <v>0</v>
      </c>
    </row>
    <row r="41" spans="1:9">
      <c r="B41"/>
    </row>
    <row r="43" spans="1:9">
      <c r="B43" s="83" t="s">
        <v>111</v>
      </c>
      <c r="C43" s="83" t="s">
        <v>49</v>
      </c>
      <c r="D43" s="83" t="s">
        <v>50</v>
      </c>
      <c r="E43" s="83" t="s">
        <v>89</v>
      </c>
    </row>
    <row r="44" spans="1:9">
      <c r="B44" s="83" t="s">
        <v>112</v>
      </c>
      <c r="C44" s="90" t="str">
        <f>SUM(C15,C40,C32,(C26*C10))</f>
        <v>0</v>
      </c>
      <c r="D44" s="90" t="str">
        <f>SUM(D15,D40,D32,(D26*D10))</f>
        <v>0</v>
      </c>
      <c r="E44" s="90" t="str">
        <f>SUM(C44:D44)</f>
        <v>0</v>
      </c>
    </row>
    <row r="45" spans="1:9">
      <c r="B45" s="83" t="s">
        <v>45</v>
      </c>
      <c r="C45" s="83">
        <v>1000</v>
      </c>
      <c r="D45" s="83">
        <v>300</v>
      </c>
      <c r="E45" s="83"/>
    </row>
    <row r="46" spans="1:9">
      <c r="B46" s="83" t="s">
        <v>113</v>
      </c>
      <c r="C46" s="90" t="str">
        <f>ROUND(SUM(C44/C45),2)</f>
        <v>0</v>
      </c>
      <c r="D46" s="90" t="str">
        <f>ROUND(SUM(D44/D45),2)</f>
        <v>0</v>
      </c>
      <c r="E46" s="83"/>
    </row>
    <row r="47" spans="1:9">
      <c r="B47" s="83" t="s">
        <v>114</v>
      </c>
      <c r="C47" s="94" t="str">
        <f>ROUND(C46*3.7,2)</f>
        <v>0</v>
      </c>
      <c r="D47" s="94" t="str">
        <f>ROUND(D46*3.7,2)</f>
        <v>0</v>
      </c>
      <c r="E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