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<sst xmlns="http://schemas.openxmlformats.org/spreadsheetml/2006/main" uniqueCount="118">
  <si>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</si>
  <si>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</si>
  <si>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</si>
  <si>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</si>
  <si>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MICHEL LUCANA HUAYTA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</si>
  <si>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</si>
  <si>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</si>
  <si>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</si>
  <si>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</si>
  <si>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</si>
  <si>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</si>
  <si>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</si>
  <si>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</si>
  <si>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</si>
  <si>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</si>
  <si>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</si>
  <si>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</si>
  <si>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</si>
  <si>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</si>
  <si>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</si>
  <si>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</si>
  <si>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</si>
  <si>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</si>
  <si>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</si>
  <si>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</si>
  <si>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</si>
  <si>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</si>
  <si>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</si>
  <si>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</si>
  <si>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</si>
  <si>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MICHEL LUCANA HUAYTA 😁 un gusto saludarte!
        A continuación te envío la cotización final de tu importación📋📦.
        🙋‍♂️ PAGO PENDIENTE :
        ☑️Costo CBM: $0
        ☑️Impuestos: $349.7
        ☑️ Total: $349.7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</si>
  <si>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</si>
  <si>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</si>
  <si>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</si>
  <si>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</si>
  <si>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</si>
  <si>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</si>
  <si>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</si>
  <si>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</si>
  <si>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</si>
  <si>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</si>
  <si>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</si>
  <si>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</si>
  <si>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</si>
  <si>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</si>
  <si>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</si>
  <si>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</si>
  <si>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</si>
  <si>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</si>
  <si>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TRIPODE CON LUZ LED PARA VIDEO</t>
  </si>
  <si>
    <t>BATERÍA PARA LUZ LED DE VIDEO</t>
  </si>
  <si>
    <t>LUZ LED PARA FOTOGRAFÍA</t>
  </si>
  <si>
    <t>SOFTBOX PARA FOTOGRAFÍA</t>
  </si>
  <si>
    <t>SOFTBOX DE MONTAJE PARA FOTOGRAFÍA</t>
  </si>
  <si>
    <t>SOFTBOX DE MONTAJE HEXAGONAL</t>
  </si>
  <si>
    <t>LUZ LED PARA CELULAR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</si>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</sst>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6.png"/><Relationship Id="rId2" Type="http://schemas.openxmlformats.org/officeDocument/2006/relationships/image" Target="../media/image157.png"/><Relationship Id="rId3" Type="http://schemas.openxmlformats.org/officeDocument/2006/relationships/image" Target="../media/image25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/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/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5" t="str">
        <f>'2'!J7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'2'!J11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'2'!J14 + '2'!J17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MAX('2'!C27:I27)</f>
        <v>0</v>
      </c>
      <c r="K20" s="14" t="str">
        <f>'2'!J28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'2'!J29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'2'!J30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'2'!J31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IF('2'!N7&lt;1, '2'!N7*J11, '2'!N7*J11)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55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3" t="s">
        <v>36</v>
      </c>
      <c r="C43" s="92"/>
      <c r="D43" s="92"/>
      <c r="E43" s="92"/>
      <c r="F43" s="93" t="str">
        <f>SUM(F36:F42)</f>
        <v>0</v>
      </c>
      <c r="G43" s="64"/>
      <c r="H43" s="64"/>
      <c r="I43" s="64"/>
      <c r="J43" s="94" t="str">
        <f>SUM(J36:J42)</f>
        <v>0</v>
      </c>
      <c r="K43" s="64"/>
      <c r="L43" s="64"/>
    </row>
    <row r="44" spans="1:14" customHeight="1" ht="18">
      <c r="B44" s="64" t="s">
        <v>56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4" customHeight="1" ht="18">
      <c r="B45" s="64" t="s">
        <v>57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4" customHeight="1" ht="18">
      <c r="B46" s="64" t="s">
        <v>58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customHeight="1" ht="18">
      <c r="B47" s="64" t="s">
        <v>59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8">
      <c r="B50" s="38"/>
      <c r="C50" s="38"/>
      <c r="D50" s="37" t="s">
        <v>0</v>
      </c>
      <c r="E50" s="37"/>
      <c r="F50" s="37"/>
      <c r="G50" s="37"/>
      <c r="H50" s="37"/>
      <c r="I50" s="37"/>
      <c r="J50" s="37"/>
      <c r="K50" s="37"/>
      <c r="L50" s="37"/>
      <c r="M50" s="37"/>
    </row>
    <row r="51" spans="1:14" customHeight="1" ht="21">
      <c r="B51" s="38"/>
      <c r="C51" s="38"/>
      <c r="D51" s="53" t="s">
        <v>60</v>
      </c>
      <c r="E51" s="53"/>
      <c r="F51" s="53"/>
      <c r="G51" s="53"/>
      <c r="H51" s="53"/>
      <c r="I51" s="53"/>
    </row>
    <row r="52" spans="1:14">
      <c r="B52" s="38"/>
      <c r="C52" s="38"/>
    </row>
    <row r="53" spans="1:14">
      <c r="B53" s="38"/>
      <c r="C53" s="38"/>
    </row>
    <row r="54" spans="1:14" customHeight="1" ht="21">
      <c r="B54" s="70" t="s">
        <v>61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</row>
    <row r="56" spans="1:14">
      <c r="B56" s="71" t="s">
        <v>62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spans="1:14">
      <c r="B57" s="71" t="s">
        <v>63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4">
      <c r="B58" s="49" t="s">
        <v>64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1:14">
      <c r="B59" s="71" t="s">
        <v>65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4">
      <c r="B60" s="71" t="s">
        <v>66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49" t="s">
        <v>67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1:14">
      <c r="B62" s="71" t="s">
        <v>68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4">
      <c r="B63" s="71" t="s">
        <v>69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71" t="s">
        <v>71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4">
      <c r="B66" s="71" t="s">
        <v>72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75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67" t="s">
        <v>79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spans="1:14">
      <c r="B74" s="71" t="s">
        <v>80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4">
      <c r="B75" s="67" t="s">
        <v>81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1:14">
      <c r="B76" s="71" t="s">
        <v>82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71" t="s">
        <v>83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A81" s="32"/>
      <c r="B81" s="72" t="s">
        <v>87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4">
      <c r="A82" s="32"/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A83" s="32"/>
      <c r="B83" s="72" t="s">
        <v>89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</row>
    <row r="85" spans="1:14">
      <c r="C85" s="38"/>
      <c r="D85" s="38"/>
      <c r="E85" s="38"/>
      <c r="F85" s="38"/>
      <c r="G85" s="38"/>
      <c r="H85" s="38"/>
      <c r="I85" s="38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 customHeight="1" ht="15.6">
      <c r="C92" s="38"/>
      <c r="D92" s="38"/>
      <c r="E92" s="38"/>
      <c r="F92" s="38"/>
      <c r="G92" s="38"/>
      <c r="H92" s="38"/>
      <c r="I92" s="38"/>
    </row>
    <row r="93" spans="1:14" customHeight="1" ht="15.6">
      <c r="C93" s="38"/>
      <c r="D93" s="38"/>
      <c r="E93" s="38"/>
      <c r="F93" s="38"/>
      <c r="G93" s="38"/>
      <c r="H93" s="38"/>
      <c r="I93" s="38"/>
    </row>
    <row r="94" spans="1:14">
      <c r="C94" s="38"/>
      <c r="D94" s="38"/>
      <c r="E94" s="38"/>
      <c r="F94" s="38"/>
      <c r="G94" s="38"/>
      <c r="H94" s="38"/>
      <c r="I94" s="38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B43:E43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252" bestFit="true" customWidth="true" style="0"/>
    <col min="3" max="3" width="36.419678" bestFit="true" customWidth="true" style="0"/>
    <col min="4" max="4" width="35.2771" bestFit="true" customWidth="true" style="0"/>
    <col min="5" max="5" width="28.135986" bestFit="true" customWidth="true" style="0"/>
    <col min="6" max="6" width="28.135986" bestFit="true" customWidth="true" style="0"/>
    <col min="7" max="7" width="41.132813" bestFit="true" customWidth="true" style="0"/>
    <col min="8" max="8" width="34.134521" bestFit="true" customWidth="true" style="0"/>
    <col min="9" max="9" width="24.708252" bestFit="true" customWidth="true" style="0"/>
    <col min="10" max="10" width="12.854004" bestFit="true" customWidth="true" style="0"/>
  </cols>
  <sheetData>
    <row r="3" spans="1:14">
      <c r="B3" s="75" t="s">
        <v>90</v>
      </c>
      <c r="C3" s="74"/>
      <c r="D3" s="74"/>
      <c r="E3" s="74"/>
      <c r="F3" s="74"/>
      <c r="G3" s="74"/>
    </row>
    <row r="5" spans="1:14">
      <c r="B5" s="78" t="s">
        <v>91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55</v>
      </c>
      <c r="J5" s="80" t="s">
        <v>92</v>
      </c>
    </row>
    <row r="6" spans="1:14">
      <c r="B6" s="74" t="s">
        <v>93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82">
        <v>0</v>
      </c>
      <c r="M6" s="76" t="s">
        <v>94</v>
      </c>
      <c r="N6" s="76" t="s">
        <v>95</v>
      </c>
    </row>
    <row r="7" spans="1:14">
      <c r="B7" s="74" t="s">
        <v>96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83"/>
      <c r="M7" s="77" t="s">
        <v>18</v>
      </c>
      <c r="N7" s="77"/>
    </row>
    <row r="8" spans="1:14">
      <c r="B8" s="74" t="s">
        <v>97</v>
      </c>
      <c r="C8" s="81">
        <v>13.8</v>
      </c>
      <c r="D8" s="81">
        <v>3.25</v>
      </c>
      <c r="E8" s="81">
        <v>19.1</v>
      </c>
      <c r="F8" s="81">
        <v>4.9</v>
      </c>
      <c r="G8" s="81">
        <v>5.5</v>
      </c>
      <c r="H8" s="81">
        <v>12.5</v>
      </c>
      <c r="I8" s="81">
        <v>5</v>
      </c>
      <c r="J8" s="74"/>
    </row>
    <row r="9" spans="1:14">
      <c r="B9" s="79" t="s">
        <v>98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74"/>
    </row>
    <row r="10" spans="1:14">
      <c r="B10" s="74" t="s">
        <v>99</v>
      </c>
      <c r="C10" s="74">
        <v>100</v>
      </c>
      <c r="D10" s="74">
        <v>20</v>
      </c>
      <c r="E10" s="74">
        <v>3</v>
      </c>
      <c r="F10" s="74">
        <v>1</v>
      </c>
      <c r="G10" s="74">
        <v>1</v>
      </c>
      <c r="H10" s="74">
        <v>1</v>
      </c>
      <c r="I10" s="74">
        <v>1</v>
      </c>
      <c r="J10" s="74" t="str">
        <f>SUM(C10:I10)</f>
        <v>0</v>
      </c>
    </row>
    <row r="11" spans="1:14">
      <c r="B11" s="74" t="s">
        <v>100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6" t="str">
        <f>SUM(C11:I11)</f>
        <v>0</v>
      </c>
    </row>
    <row r="12" spans="1:14">
      <c r="B12" s="79" t="s">
        <v>101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6" t="str">
        <f>SUM(C12:I12)</f>
        <v>0</v>
      </c>
    </row>
    <row r="13" spans="1:14">
      <c r="B13" s="74" t="s">
        <v>102</v>
      </c>
      <c r="C13" s="84" t="str">
        <f>C11/J11</f>
        <v>0</v>
      </c>
      <c r="D13" s="84" t="str">
        <f>D11/J11</f>
        <v>0</v>
      </c>
      <c r="E13" s="84" t="str">
        <f>E11/J11</f>
        <v>0</v>
      </c>
      <c r="F13" s="84" t="str">
        <f>F11/J11</f>
        <v>0</v>
      </c>
      <c r="G13" s="84" t="str">
        <f>G11/J11</f>
        <v>0</v>
      </c>
      <c r="H13" s="84" t="str">
        <f>H11/J11</f>
        <v>0</v>
      </c>
      <c r="I13" s="84" t="str">
        <f>I11/J11</f>
        <v>0</v>
      </c>
      <c r="J13" s="74"/>
    </row>
    <row r="14" spans="1:14">
      <c r="B14" s="74" t="s">
        <v>103</v>
      </c>
      <c r="C14" s="81" t="str">
        <f>ROUNDUP(J14*C13,2)</f>
        <v>0</v>
      </c>
      <c r="D14" s="81" t="str">
        <f>ROUNDUP(J14*D13,2)</f>
        <v>0</v>
      </c>
      <c r="E14" s="81" t="str">
        <f>ROUNDUP(J14*E13,2)</f>
        <v>0</v>
      </c>
      <c r="F14" s="81" t="str">
        <f>ROUNDUP(J14*F13,2)</f>
        <v>0</v>
      </c>
      <c r="G14" s="81" t="str">
        <f>ROUNDUP(J14*G13,2)</f>
        <v>0</v>
      </c>
      <c r="H14" s="81" t="str">
        <f>ROUNDUP(J14*H13,2)</f>
        <v>0</v>
      </c>
      <c r="I14" s="81" t="str">
        <f>ROUNDUP(J14*I13,2)</f>
        <v>0</v>
      </c>
      <c r="J14" s="86" t="str">
        <f>IF(J7&lt;1, ROUNDUP(N7*0.6, 0), ROUNDUP(N7*0.6*J7, 0))</f>
        <v>0</v>
      </c>
    </row>
    <row r="15" spans="1:14">
      <c r="B15" s="74" t="s">
        <v>104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6" t="str">
        <f>SUM(C15:I15)</f>
        <v>0</v>
      </c>
    </row>
    <row r="16" spans="1:14">
      <c r="B16" s="79" t="s">
        <v>105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6" t="str">
        <f>SUM(C16:I16)</f>
        <v>0</v>
      </c>
    </row>
    <row r="17" spans="1:14">
      <c r="B17" s="74" t="s">
        <v>106</v>
      </c>
      <c r="C17" s="81" t="str">
        <f>IF(J15&gt;5000,ROUND(100*C13,2),ROUND(50*C13,2))</f>
        <v>0</v>
      </c>
      <c r="D17" s="81" t="str">
        <f>IF(J15&gt;5000,ROUND(100*D13,2),ROUND(50*D13,2))</f>
        <v>0</v>
      </c>
      <c r="E17" s="81" t="str">
        <f>IF(J15&gt;5000,ROUND(100*E13,2),ROUND(50*E13,2))</f>
        <v>0</v>
      </c>
      <c r="F17" s="81" t="str">
        <f>IF(J15&gt;5000,ROUND(100*F13,2),ROUND(50*F13,2))</f>
        <v>0</v>
      </c>
      <c r="G17" s="81" t="str">
        <f>IF(J15&gt;5000,ROUND(100*G13,2),ROUND(50*G13,2))</f>
        <v>0</v>
      </c>
      <c r="H17" s="81" t="str">
        <f>IF(J15&gt;5000,ROUND(100*H13,2),ROUND(50*H13,2))</f>
        <v>0</v>
      </c>
      <c r="I17" s="81" t="str">
        <f>IF(J15&gt;5000,ROUND(100*I13,2),ROUND(50*I13,2))</f>
        <v>0</v>
      </c>
      <c r="J17" s="86" t="str">
        <f>SUM(C17:I17)</f>
        <v>0</v>
      </c>
    </row>
    <row r="18" spans="1:14">
      <c r="B18" s="74" t="s">
        <v>107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6" t="str">
        <f>SUM(C18:I18)</f>
        <v>0</v>
      </c>
    </row>
    <row r="19" spans="1:14">
      <c r="B19" s="79" t="s">
        <v>108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6" t="str">
        <f>SUM(C19:I19)</f>
        <v>0</v>
      </c>
    </row>
    <row r="23" spans="1:14">
      <c r="B23" s="75" t="s">
        <v>109</v>
      </c>
      <c r="C23" s="74"/>
      <c r="D23" s="74"/>
      <c r="E23" s="74"/>
    </row>
    <row r="26" spans="1:14">
      <c r="B26" s="74" t="s">
        <v>110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 t="str">
        <f>SUM(C26:I26)</f>
        <v>0</v>
      </c>
    </row>
    <row r="27" spans="1:14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4" t="str">
        <f>SUM(C27:I27)</f>
        <v>0</v>
      </c>
    </row>
    <row r="28" spans="1:14">
      <c r="B28" s="74" t="s">
        <v>111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SUM(C28:I28)</f>
        <v>0</v>
      </c>
    </row>
    <row r="29" spans="1:14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SUM(C29:I29)</f>
        <v>0</v>
      </c>
    </row>
    <row r="30" spans="1:14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SUM(C30:I30)</f>
        <v>0</v>
      </c>
    </row>
    <row r="31" spans="1:14">
      <c r="B31" s="74" t="s">
        <v>112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SUM(C31:I31)</f>
        <v>0</v>
      </c>
    </row>
    <row r="32" spans="1:14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</row>
    <row r="37" spans="1:14">
      <c r="B37" s="75" t="s">
        <v>113</v>
      </c>
      <c r="C37" s="74"/>
      <c r="D37" s="74"/>
      <c r="E37" s="74"/>
    </row>
    <row r="40" spans="1:14">
      <c r="B40" s="74" t="s">
        <v>114</v>
      </c>
      <c r="C40" s="81" t="str">
        <f>C13*J40</f>
        <v>0</v>
      </c>
      <c r="D40" s="81" t="str">
        <f>D13*J40</f>
        <v>0</v>
      </c>
      <c r="E40" s="81" t="str">
        <f>E13*J40</f>
        <v>0</v>
      </c>
      <c r="F40" s="81" t="str">
        <f>F13*J40</f>
        <v>0</v>
      </c>
      <c r="G40" s="81" t="str">
        <f>G13*J40</f>
        <v>0</v>
      </c>
      <c r="H40" s="81" t="str">
        <f>H13*J40</f>
        <v>0</v>
      </c>
      <c r="I40" s="81" t="str">
        <f>I13*J40</f>
        <v>0</v>
      </c>
      <c r="J40" s="81" t="str">
        <f>IF(J7&lt;1, ROUNDUP(N7*0.4, 0), ROUNDUP(N7*0.4*J7, 0))</f>
        <v>0</v>
      </c>
    </row>
    <row r="41" spans="1:14">
      <c r="B41"/>
    </row>
    <row r="43" spans="1:14">
      <c r="B43" s="74" t="s">
        <v>114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55</v>
      </c>
      <c r="J43" s="74" t="s">
        <v>92</v>
      </c>
    </row>
    <row r="44" spans="1:14">
      <c r="B44" s="74" t="s">
        <v>115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SUM(C44:I44)</f>
        <v>0</v>
      </c>
    </row>
    <row r="45" spans="1:14">
      <c r="B45" s="74" t="s">
        <v>45</v>
      </c>
      <c r="C45" s="74">
        <v>100</v>
      </c>
      <c r="D45" s="74">
        <v>20</v>
      </c>
      <c r="E45" s="74">
        <v>3</v>
      </c>
      <c r="F45" s="74">
        <v>1</v>
      </c>
      <c r="G45" s="74">
        <v>1</v>
      </c>
      <c r="H45" s="74">
        <v>1</v>
      </c>
      <c r="I45" s="74">
        <v>1</v>
      </c>
      <c r="J45" s="74"/>
    </row>
    <row r="46" spans="1:14">
      <c r="B46" s="74" t="s">
        <v>116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74"/>
    </row>
    <row r="47" spans="1:14">
      <c r="B47" s="74" t="s">
        <v>117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