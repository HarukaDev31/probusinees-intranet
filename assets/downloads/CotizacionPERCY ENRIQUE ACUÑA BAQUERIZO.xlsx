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<sst xmlns="http://schemas.openxmlformats.org/spreadsheetml/2006/main" uniqueCount="117">
  <si>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</si>
  <si>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</si>
  <si>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</si>
  <si>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</si>
  <si>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PERCY ENRIQUE ACUÑA BAQUERIZO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</si>
  <si>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</si>
  <si>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</si>
  <si>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</si>
  <si>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</si>
  <si>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</si>
  <si>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</si>
  <si>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</si>
  <si>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</si>
  <si>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</si>
  <si>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</si>
  <si>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</si>
  <si>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</si>
  <si>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</si>
  <si>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</si>
  <si>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</si>
  <si>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</si>
  <si>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</si>
  <si>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</si>
  <si>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</si>
  <si>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</si>
  <si>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</si>
  <si>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</si>
  <si>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</si>
  <si>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</si>
  <si>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</si>
  <si>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PERCY ENRIQUE ACUÑA BAQUERIZO 😁 un gusto saludarte!
        A continuación te envío la cotización final de tu importación📋📦.
        🙋‍♂️ PAGO PENDIENTE :
        ☑️Costo CBM: $0
        ☑️Impuestos: $935.39
        ☑️ Total: $935.39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</si>
  <si>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</si>
  <si>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</si>
  <si>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</si>
  <si>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</si>
  <si>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</si>
  <si>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</si>
  <si>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</si>
  <si>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</si>
  <si>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</si>
  <si>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</si>
  <si>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</si>
  <si>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</si>
  <si>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</si>
  <si>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</si>
  <si>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</si>
  <si>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</si>
  <si>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</si>
  <si>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</si>
  <si>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TRIPODE CON LUCES LED PARA CELULAR</t>
  </si>
  <si>
    <t>SOPORTE PARA TELEFONO CON CARGA INALAMBRICA</t>
  </si>
  <si>
    <t>SOPLADOR DE AIRE ELECTRICO</t>
  </si>
  <si>
    <t>TENDEDERO RETRACTIL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</si>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</sst>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68.png"/><Relationship Id="rId2" Type="http://schemas.openxmlformats.org/officeDocument/2006/relationships/image" Target="../media/image169.png"/><Relationship Id="rId3" Type="http://schemas.openxmlformats.org/officeDocument/2006/relationships/image" Target="../media/image27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/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/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IF('2'!K7&lt;1, '2'!K7*J11,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41.132813" bestFit="true" customWidth="true" style="0"/>
    <col min="4" max="4" width="51.844482" bestFit="true" customWidth="true" style="0"/>
    <col min="5" max="5" width="31.706543" bestFit="true" customWidth="true" style="0"/>
    <col min="6" max="6" width="23.422852" bestFit="true" customWidth="true" style="0"/>
    <col min="7" max="7" width="12.854004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0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>
        <v>0.4</v>
      </c>
      <c r="J7" s="81" t="s">
        <v>18</v>
      </c>
      <c r="K7" s="81"/>
    </row>
    <row r="8" spans="1:11">
      <c r="B8" s="78" t="s">
        <v>96</v>
      </c>
      <c r="C8" s="85">
        <v>6.0869565217391</v>
      </c>
      <c r="D8" s="85">
        <v>4.4844605477778</v>
      </c>
      <c r="E8" s="85">
        <v>12.391304347826</v>
      </c>
      <c r="F8" s="85">
        <v>10.144927536232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150</v>
      </c>
      <c r="D10" s="78">
        <v>180</v>
      </c>
      <c r="E10" s="78">
        <v>100</v>
      </c>
      <c r="F10" s="78">
        <v>120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ROUNDUP(G14*C13,2)</f>
        <v>0</v>
      </c>
      <c r="D14" s="85" t="str">
        <f>ROUNDUP(G14*D13,2)</f>
        <v>0</v>
      </c>
      <c r="E14" s="85" t="str">
        <f>ROUNDUP(G14*E13,2)</f>
        <v>0</v>
      </c>
      <c r="F14" s="85" t="str">
        <f>ROUNDUP(G14*F13,2)</f>
        <v>0</v>
      </c>
      <c r="G14" s="90" t="str">
        <f>IF(G7&lt;1, ROUNDUP(K7*0.6, 0), ROUNDUP(K7*0.6*G7, 0))</f>
        <v>0</v>
      </c>
    </row>
    <row r="15" spans="1:11">
      <c r="B15" s="78" t="s">
        <v>103</v>
      </c>
      <c r="C15" s="85" t="str">
        <f>ROUNDUP(C11+C14,2)</f>
        <v>0</v>
      </c>
      <c r="D15" s="85" t="str">
        <f>ROUNDUP(D11+D14,2)</f>
        <v>0</v>
      </c>
      <c r="E15" s="85" t="str">
        <f>ROUNDUP(E11+E14,2)</f>
        <v>0</v>
      </c>
      <c r="F15" s="85" t="str">
        <f>ROUNDUP(F11+F14,2)</f>
        <v>0</v>
      </c>
      <c r="G15" s="90" t="str">
        <f>SUM(C15:F15)</f>
        <v>0</v>
      </c>
    </row>
    <row r="16" spans="1:11">
      <c r="B16" s="83" t="s">
        <v>104</v>
      </c>
      <c r="C16" s="85" t="str">
        <f>ROUNDUP(C12+C14,2)</f>
        <v>0</v>
      </c>
      <c r="D16" s="85" t="str">
        <f>ROUNDUP(D12+D14,2)</f>
        <v>0</v>
      </c>
      <c r="E16" s="85" t="str">
        <f>ROUNDUP(E12+E14,2)</f>
        <v>0</v>
      </c>
      <c r="F16" s="85" t="str">
        <f>ROUNDUP(F12+F14,2)</f>
        <v>0</v>
      </c>
      <c r="G16" s="90" t="str">
        <f>SUM(C16:F16)</f>
        <v>0</v>
      </c>
    </row>
    <row r="17" spans="1:11">
      <c r="B17" s="78" t="s">
        <v>105</v>
      </c>
      <c r="C17" s="85" t="str">
        <f>IF(G15&gt;5000,ROUND(100*C13,2),ROUND(50*C13,2))</f>
        <v>0</v>
      </c>
      <c r="D17" s="85" t="str">
        <f>IF(G15&gt;5000,ROUND(100*D13,2),ROUND(50*D13,2))</f>
        <v>0</v>
      </c>
      <c r="E17" s="85" t="str">
        <f>IF(G15&gt;5000,ROUND(100*E13,2),ROUND(50*E13,2))</f>
        <v>0</v>
      </c>
      <c r="F17" s="85" t="str">
        <f>IF(G15&gt;5000,ROUND(100*F13,2),ROUND(50*F13,2))</f>
        <v>0</v>
      </c>
      <c r="G17" s="90" t="str">
        <f>SUM(C17:F17)</f>
        <v>0</v>
      </c>
    </row>
    <row r="18" spans="1:11">
      <c r="B18" s="78" t="s">
        <v>106</v>
      </c>
      <c r="C18" s="85" t="str">
        <f>ROUNDUP(C15+C17,2)</f>
        <v>0</v>
      </c>
      <c r="D18" s="85" t="str">
        <f>ROUNDUP(D15+D17,2)</f>
        <v>0</v>
      </c>
      <c r="E18" s="85" t="str">
        <f>ROUNDUP(E15+E17,2)</f>
        <v>0</v>
      </c>
      <c r="F18" s="85" t="str">
        <f>ROUNDUP(F15+F17,2)</f>
        <v>0</v>
      </c>
      <c r="G18" s="90" t="str">
        <f>SUM(C18:F18)</f>
        <v>0</v>
      </c>
    </row>
    <row r="19" spans="1:11">
      <c r="B19" s="83" t="s">
        <v>107</v>
      </c>
      <c r="C19" s="85" t="str">
        <f>ROUNDUP(C16+C17,2)</f>
        <v>0</v>
      </c>
      <c r="D19" s="85" t="str">
        <f>ROUNDUP(D16+D17,2)</f>
        <v>0</v>
      </c>
      <c r="E19" s="85" t="str">
        <f>ROUNDUP(E16+E17,2)</f>
        <v>0</v>
      </c>
      <c r="F19" s="85" t="str">
        <f>ROUNDUP(F16+F17,2)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ROUNDUP(K7*0.4, 0), ROUNDUP(K7*0.4*G7, 0))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SUM(C15,C40,C32,(C26*C10))</f>
        <v>0</v>
      </c>
      <c r="D44" s="85" t="str">
        <f>SUM(D15,D40,D32,(D26*D10))</f>
        <v>0</v>
      </c>
      <c r="E44" s="85" t="str">
        <f>SUM(E15,E40,E32,(E26*E10))</f>
        <v>0</v>
      </c>
      <c r="F44" s="85" t="str">
        <f>SUM(F15,F40,F32,(F26*F10))</f>
        <v>0</v>
      </c>
      <c r="G44" s="85" t="str">
        <f>SUM(C44:F44)</f>
        <v>0</v>
      </c>
    </row>
    <row r="45" spans="1:11">
      <c r="B45" s="78" t="s">
        <v>45</v>
      </c>
      <c r="C45" s="78">
        <v>150</v>
      </c>
      <c r="D45" s="78">
        <v>180</v>
      </c>
      <c r="E45" s="78">
        <v>100</v>
      </c>
      <c r="F45" s="78">
        <v>120</v>
      </c>
      <c r="G45" s="78"/>
    </row>
    <row r="46" spans="1:11">
      <c r="B46" s="78" t="s">
        <v>115</v>
      </c>
      <c r="C46" s="85" t="str">
        <f>ROUND(SUM(C44/C45),2)</f>
        <v>0</v>
      </c>
      <c r="D46" s="85" t="str">
        <f>ROUND(SUM(D44/D45),2)</f>
        <v>0</v>
      </c>
      <c r="E46" s="85" t="str">
        <f>ROUND(SUM(E44/E45),2)</f>
        <v>0</v>
      </c>
      <c r="F46" s="85" t="str">
        <f>ROUND(SUM(F44/F45),2)</f>
        <v>0</v>
      </c>
      <c r="G46" s="78"/>
    </row>
    <row r="47" spans="1:11">
      <c r="B47" s="78" t="s">
        <v>116</v>
      </c>
      <c r="C47" s="89" t="str">
        <f>ROUND(C46*3.7,2)</f>
        <v>0</v>
      </c>
      <c r="D47" s="89" t="str">
        <f>ROUND(D46*3.7,2)</f>
        <v>0</v>
      </c>
      <c r="E47" s="89" t="str">
        <f>ROUND(E46*3.7,2)</f>
        <v>0</v>
      </c>
      <c r="F47" s="89" t="str">
        <f>ROUND(F46*3.7,2)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