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'1'!$A$1:$M$104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<sst xmlns="http://schemas.openxmlformats.org/spreadsheetml/2006/main" uniqueCount="120">
  <si>
    <t>PRO MUNDO COMEX S.A.C.</t>
  </si>
  <si>
    <t xml:space="preserve">         RUC: 20612452432</t>
  </si>
  <si>
    <t>COTIZACION N002</t>
  </si>
  <si>
    <t>NOMBRE:</t>
  </si>
  <si>
    <t>MARIBEL VILMA GONZALES HUANCA</t>
  </si>
  <si>
    <t>SERVICIO:</t>
  </si>
  <si>
    <t>CARGA CONSOLIDADA</t>
  </si>
  <si>
    <t>N° CAJAS:</t>
  </si>
  <si>
    <t>APELLIDO:</t>
  </si>
  <si>
    <t>FECHA:</t>
  </si>
  <si>
    <t>PESO:</t>
  </si>
  <si>
    <t>100 Kg</t>
  </si>
  <si>
    <t>DNI/RUC:</t>
  </si>
  <si>
    <t>ORIGEN:</t>
  </si>
  <si>
    <t>CHINA</t>
  </si>
  <si>
    <t>MEDIDA:</t>
  </si>
  <si>
    <t>TELEFONO:</t>
  </si>
  <si>
    <t>51 940 469 505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</si>
  <si>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</si>
  <si>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</si>
  <si>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</si>
  <si>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</si>
  <si>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</si>
  <si>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</si>
  <si>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</si>
  <si>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</si>
  <si>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</si>
  <si>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</si>
  <si>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</si>
  <si>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</si>
  <si>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</si>
  <si>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MARIBEL VILMA GONZALES HUANCA 😁 un gusto saludarte!
        A continuación te envío la cotización final de tu importación📋📦.
        🙋‍♂️ PAGO PENDIENTE :
        ☑️Costo CBM: $332.64
        ☑️Impuestos: $936.83
        ☑️ Total: $1269.47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</si>
  <si>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</si>
  <si>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</si>
  <si>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</si>
  <si>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</si>
  <si>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</si>
  <si>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</si>
  <si>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</si>
  <si>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</si>
  <si>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</si>
  <si>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</si>
  <si>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</si>
  <si>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</si>
  <si>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</si>
  <si>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</si>
  <si>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</si>
  <si>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</si>
  <si>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</si>
  <si>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</si>
  <si>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GORRO CON TRENZAS PARA NIÑA</t>
  </si>
  <si>
    <t>SOMBRERO MODELO CON OREJITAS</t>
  </si>
  <si>
    <t>SOMBRERO VINTAGE PARA NIÑA</t>
  </si>
  <si>
    <t>SOMBRERO DE VERANO PARA NIÑAS</t>
  </si>
  <si>
    <t>SOMBRERO MODELO GIRASOL</t>
  </si>
  <si>
    <t>GORRO MODELO LAZO</t>
  </si>
  <si>
    <t>GORRO CON CUELLERA PARA INVIERNO</t>
  </si>
  <si>
    <t>GORRO DE INVIERNO MODELO CASTOR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</si>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</sst>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2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4"/>
      <color rgb="FF000000"/>
      <name val="Calibri Light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0" numFmtId="167" fillId="3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9" numFmtId="0" fillId="6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1" numFmtId="0" fillId="4" borderId="10" applyFont="1" applyNumberFormat="0" applyFill="1" applyBorder="1" applyAlignment="1">
      <alignment horizontal="center" vertical="bottom" textRotation="0" wrapText="false" shrinkToFit="false"/>
    </xf>
    <xf xfId="0" fontId="11" numFmtId="0" fillId="4" borderId="6" applyFont="1" applyNumberFormat="0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3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3" numFmtId="0" fillId="4" borderId="0" applyFont="1" applyNumberFormat="0" applyFill="1" applyBorder="0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5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11" borderId="1" applyFont="1" applyNumberFormat="1" applyFill="1" applyBorder="1" applyAlignment="1">
      <alignment horizontal="center" vertical="bottom" textRotation="0" wrapText="false" shrinkToFit="false"/>
    </xf>
    <xf xfId="0" fontId="17" numFmtId="167" fillId="3" borderId="1" applyFont="1" applyNumberFormat="1" applyFill="1" applyBorder="1" applyAlignment="1">
      <alignment horizontal="left" vertical="bottom" textRotation="0" wrapText="false" shrinkToFit="false"/>
    </xf>
    <xf xfId="0" fontId="18" numFmtId="0" fillId="3" borderId="1" applyFont="1" applyNumberFormat="0" applyFill="1" applyBorder="1" applyAlignment="1">
      <alignment horizontal="center" vertical="bottom" textRotation="0" wrapText="false" shrinkToFit="false"/>
    </xf>
    <xf xfId="0" fontId="12" numFmtId="0" fillId="3" borderId="1" applyFont="1" applyNumberFormat="0" applyFill="1" applyBorder="1" applyAlignment="0">
      <alignment horizontal="general" vertical="bottom" textRotation="0" wrapText="false" shrinkToFit="false"/>
    </xf>
    <xf xfId="0" fontId="19" numFmtId="0" fillId="3" borderId="1" applyFont="1" applyNumberFormat="0" applyFill="1" applyBorder="1" applyAlignment="1">
      <alignment horizontal="center" vertical="bottom" textRotation="0" wrapText="false" shrinkToFit="false"/>
    </xf>
    <xf xfId="0" fontId="19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80.png"/><Relationship Id="rId2" Type="http://schemas.openxmlformats.org/officeDocument/2006/relationships/image" Target="../media/image181.png"/><Relationship Id="rId3" Type="http://schemas.openxmlformats.org/officeDocument/2006/relationships/image" Target="../media/image28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49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85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1"/>
  <sheetViews>
    <sheetView tabSelected="0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customHeight="1" ht="18">
      <c r="B2" s="38"/>
      <c r="C2" s="38"/>
      <c r="E2" s="43"/>
      <c r="F2" s="43"/>
      <c r="G2" s="43"/>
      <c r="H2" s="43"/>
      <c r="I2" s="43"/>
      <c r="J2" s="43"/>
      <c r="K2" s="43"/>
      <c r="L2" s="43"/>
    </row>
    <row r="3" spans="1:14" customHeight="1" ht="25.8">
      <c r="B3" s="38"/>
      <c r="C3" s="38"/>
      <c r="E3" s="54" t="s">
        <v>0</v>
      </c>
      <c r="F3" s="54"/>
      <c r="G3" s="54"/>
      <c r="H3" s="54"/>
      <c r="I3" s="54"/>
      <c r="J3" s="54"/>
    </row>
    <row r="4" spans="1:14" customHeight="1" ht="25.8">
      <c r="B4" s="38"/>
      <c r="C4" s="38"/>
      <c r="E4" s="55" t="s">
        <v>1</v>
      </c>
      <c r="F4" s="55"/>
      <c r="G4" s="55"/>
      <c r="H4" s="55"/>
      <c r="I4" s="55"/>
      <c r="J4" s="55"/>
      <c r="K4" s="13"/>
    </row>
    <row r="5" spans="1:14">
      <c r="B5" s="38"/>
      <c r="C5" s="38"/>
      <c r="D5" s="36"/>
    </row>
    <row r="6" spans="1:14">
      <c r="B6" s="38"/>
      <c r="C6" s="38"/>
      <c r="D6" s="25"/>
      <c r="F6" s="25"/>
      <c r="G6" s="25"/>
      <c r="H6" s="25"/>
    </row>
    <row r="7" spans="1:14">
      <c r="A7" s="38"/>
      <c r="B7" s="38"/>
      <c r="C7" s="38"/>
      <c r="E7" s="40" t="s">
        <v>2</v>
      </c>
      <c r="F7" s="40"/>
      <c r="G7" s="40"/>
      <c r="I7" s="38"/>
      <c r="J7" s="38"/>
      <c r="K7" s="38"/>
      <c r="L7" s="38"/>
    </row>
    <row r="8" spans="1:14">
      <c r="B8" s="8" t="s">
        <v>3</v>
      </c>
      <c r="C8" s="97" t="s">
        <v>4</v>
      </c>
      <c r="D8" s="34"/>
      <c r="E8" s="22" t="s">
        <v>5</v>
      </c>
      <c r="F8" s="45" t="s">
        <v>6</v>
      </c>
      <c r="G8" s="46"/>
      <c r="H8" s="33"/>
      <c r="I8" s="1" t="s">
        <v>7</v>
      </c>
      <c r="J8" s="62" t="str">
        <f>+'2'!F7</f>
        <v>0</v>
      </c>
      <c r="K8" s="62"/>
      <c r="L8" s="62"/>
    </row>
    <row r="9" spans="1:14">
      <c r="B9" s="8" t="s">
        <v>8</v>
      </c>
      <c r="C9" s="16"/>
      <c r="D9" s="34"/>
      <c r="E9" s="23" t="s">
        <v>9</v>
      </c>
      <c r="F9" s="41" t="str">
        <f>+TODAY()</f>
        <v>0</v>
      </c>
      <c r="G9" s="42"/>
      <c r="H9" s="33"/>
      <c r="I9" s="1" t="s">
        <v>10</v>
      </c>
      <c r="J9" s="96" t="s">
        <v>11</v>
      </c>
      <c r="K9" s="39"/>
      <c r="L9" s="39"/>
    </row>
    <row r="10" spans="1:14">
      <c r="B10" s="8" t="s">
        <v>12</v>
      </c>
      <c r="C10" s="16">
        <v>41877382</v>
      </c>
      <c r="D10" s="34"/>
      <c r="E10" s="27" t="s">
        <v>13</v>
      </c>
      <c r="F10" s="43" t="s">
        <v>14</v>
      </c>
      <c r="G10" s="44"/>
      <c r="H10" s="33"/>
      <c r="I10" s="1" t="s">
        <v>15</v>
      </c>
      <c r="J10" s="63"/>
      <c r="K10" s="96"/>
      <c r="L10" s="63"/>
    </row>
    <row r="11" spans="1:14">
      <c r="B11" s="8" t="s">
        <v>16</v>
      </c>
      <c r="C11" s="17" t="s">
        <v>17</v>
      </c>
      <c r="D11" s="35"/>
      <c r="E11" s="24" t="s">
        <v>18</v>
      </c>
      <c r="F11" s="48" t="s">
        <v>19</v>
      </c>
      <c r="G11" s="65"/>
      <c r="H11" s="33"/>
      <c r="I11" s="1" t="s">
        <v>20</v>
      </c>
      <c r="J11" s="95" t="str">
        <f>'2'!K7</f>
        <v>0</v>
      </c>
      <c r="K11" s="73"/>
      <c r="L11" s="73"/>
    </row>
    <row r="12" spans="1:14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4">
      <c r="B13" s="66" t="s">
        <v>21</v>
      </c>
      <c r="C13" s="66"/>
      <c r="D13" s="66"/>
      <c r="E13" s="66"/>
      <c r="F13" s="66"/>
      <c r="G13" s="66"/>
      <c r="H13" s="66"/>
      <c r="I13" s="66"/>
      <c r="J13" s="66"/>
      <c r="K13" s="10" t="s">
        <v>22</v>
      </c>
      <c r="L13" s="10" t="s">
        <v>23</v>
      </c>
    </row>
    <row r="14" spans="1:14">
      <c r="B14" s="67" t="s">
        <v>24</v>
      </c>
      <c r="C14" s="67"/>
      <c r="D14" s="67"/>
      <c r="E14" s="67"/>
      <c r="F14" s="67"/>
      <c r="G14" s="67"/>
      <c r="H14" s="67"/>
      <c r="I14" s="67"/>
      <c r="J14" s="67"/>
      <c r="K14" s="14" t="str">
        <f>'2'!K11</f>
        <v>0</v>
      </c>
      <c r="L14" s="9" t="s">
        <v>25</v>
      </c>
    </row>
    <row r="15" spans="1:14">
      <c r="B15" s="68" t="s">
        <v>26</v>
      </c>
      <c r="C15" s="68"/>
      <c r="D15" s="68"/>
      <c r="E15" s="68"/>
      <c r="F15" s="68"/>
      <c r="G15" s="68"/>
      <c r="H15" s="68"/>
      <c r="I15" s="68"/>
      <c r="J15" s="68"/>
      <c r="K15" s="15" t="str">
        <f>'2'!K14 + '2'!K17</f>
        <v>0</v>
      </c>
      <c r="L15" s="12" t="s">
        <v>25</v>
      </c>
    </row>
    <row r="16" spans="1:14">
      <c r="B16" s="51" t="s">
        <v>27</v>
      </c>
      <c r="C16" s="51"/>
      <c r="D16" s="51"/>
      <c r="E16" s="51"/>
      <c r="F16" s="51"/>
      <c r="G16" s="51"/>
      <c r="H16" s="51"/>
      <c r="I16" s="51"/>
      <c r="J16" s="51"/>
      <c r="K16" s="14" t="str">
        <f>SUM(K14:K15)</f>
        <v>0</v>
      </c>
      <c r="L16" s="9" t="s">
        <v>25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69" t="s">
        <v>28</v>
      </c>
      <c r="C19" s="69"/>
      <c r="D19" s="69"/>
      <c r="E19" s="69"/>
      <c r="F19" s="69"/>
      <c r="G19" s="18"/>
      <c r="H19" s="18"/>
      <c r="I19" s="18"/>
      <c r="J19" s="10" t="s">
        <v>29</v>
      </c>
      <c r="K19" s="10" t="s">
        <v>22</v>
      </c>
      <c r="L19" s="10" t="s">
        <v>23</v>
      </c>
    </row>
    <row r="20" spans="1:14">
      <c r="B20" s="49" t="s">
        <v>30</v>
      </c>
      <c r="C20" s="49"/>
      <c r="D20" s="49"/>
      <c r="E20" s="49"/>
      <c r="F20" s="49"/>
      <c r="G20" s="49"/>
      <c r="H20" s="49"/>
      <c r="I20" s="49"/>
      <c r="J20" s="20" t="str">
        <f>MAX('2'!C27:J27)</f>
        <v>0</v>
      </c>
      <c r="K20" s="14" t="str">
        <f>'2'!K28</f>
        <v>0</v>
      </c>
      <c r="L20" s="9" t="s">
        <v>25</v>
      </c>
      <c r="N20" t="s">
        <v>31</v>
      </c>
    </row>
    <row r="21" spans="1:14">
      <c r="B21" s="49" t="s">
        <v>32</v>
      </c>
      <c r="C21" s="49"/>
      <c r="D21" s="49"/>
      <c r="E21" s="49"/>
      <c r="F21" s="49"/>
      <c r="G21" s="49"/>
      <c r="H21" s="49"/>
      <c r="I21" s="49"/>
      <c r="J21" s="20">
        <v>0.16</v>
      </c>
      <c r="K21" s="14" t="str">
        <f>'2'!K29</f>
        <v>0</v>
      </c>
      <c r="L21" s="9" t="s">
        <v>25</v>
      </c>
    </row>
    <row r="22" spans="1:14">
      <c r="B22" s="48" t="s">
        <v>33</v>
      </c>
      <c r="C22" s="48"/>
      <c r="D22" s="48"/>
      <c r="E22" s="48"/>
      <c r="F22" s="48"/>
      <c r="G22" s="48"/>
      <c r="H22" s="48"/>
      <c r="I22" s="48"/>
      <c r="J22" s="20">
        <v>0.02</v>
      </c>
      <c r="K22" s="14" t="str">
        <f>'2'!K30</f>
        <v>0</v>
      </c>
      <c r="L22" s="9" t="s">
        <v>25</v>
      </c>
    </row>
    <row r="23" spans="1:14">
      <c r="B23" s="51" t="s">
        <v>34</v>
      </c>
      <c r="C23" s="51"/>
      <c r="D23" s="51"/>
      <c r="E23" s="51"/>
      <c r="F23" s="51"/>
      <c r="G23" s="51"/>
      <c r="H23" s="51"/>
      <c r="I23" s="51"/>
      <c r="J23" s="29"/>
      <c r="K23" s="30" t="str">
        <f>SUM(K20:K22)</f>
        <v>0</v>
      </c>
      <c r="L23" s="29" t="s">
        <v>25</v>
      </c>
    </row>
    <row r="24" spans="1:14">
      <c r="B24" s="49"/>
      <c r="C24" s="49"/>
      <c r="D24" s="49"/>
      <c r="E24" s="49"/>
      <c r="F24" s="49"/>
      <c r="G24" s="49"/>
      <c r="H24" s="49"/>
      <c r="I24" s="49"/>
      <c r="J24" s="2"/>
      <c r="K24" s="11"/>
      <c r="L24" s="9"/>
    </row>
    <row r="25" spans="1:14">
      <c r="B25" s="48" t="s">
        <v>35</v>
      </c>
      <c r="C25" s="48"/>
      <c r="D25" s="48"/>
      <c r="E25" s="48"/>
      <c r="F25" s="48"/>
      <c r="G25" s="48"/>
      <c r="H25" s="48"/>
      <c r="I25" s="48"/>
      <c r="J25" s="21" t="s">
        <v>36</v>
      </c>
      <c r="K25" s="15" t="str">
        <f>'2'!K31</f>
        <v>0</v>
      </c>
      <c r="L25" s="12" t="s">
        <v>25</v>
      </c>
    </row>
    <row r="26" spans="1:14">
      <c r="B26" s="51" t="s">
        <v>37</v>
      </c>
      <c r="C26" s="51"/>
      <c r="D26" s="51"/>
      <c r="E26" s="51"/>
      <c r="F26" s="51"/>
      <c r="G26" s="51"/>
      <c r="H26" s="51"/>
      <c r="I26" s="51"/>
      <c r="K26" s="14" t="str">
        <f>K23+K25</f>
        <v>0</v>
      </c>
      <c r="L26" s="9" t="s">
        <v>25</v>
      </c>
    </row>
    <row r="27" spans="1:14">
      <c r="B27" s="43"/>
      <c r="C27" s="43"/>
      <c r="D27" s="43"/>
      <c r="E27" s="43"/>
      <c r="F27" s="43"/>
      <c r="G27" s="43"/>
      <c r="H27" s="43"/>
      <c r="I27" s="43"/>
    </row>
    <row r="28" spans="1:14" customHeight="1" ht="15.6">
      <c r="B28" s="52" t="s">
        <v>38</v>
      </c>
      <c r="C28" s="52"/>
      <c r="D28" s="52"/>
      <c r="E28" s="52"/>
      <c r="F28" s="52"/>
      <c r="G28" s="52"/>
      <c r="H28" s="52"/>
      <c r="I28" s="52"/>
      <c r="J28" s="52"/>
      <c r="K28" s="28" t="s">
        <v>22</v>
      </c>
      <c r="L28" s="28" t="s">
        <v>23</v>
      </c>
    </row>
    <row r="29" spans="1:14">
      <c r="B29" s="49" t="s">
        <v>39</v>
      </c>
      <c r="C29" s="49"/>
      <c r="D29" s="49"/>
      <c r="E29" s="49"/>
      <c r="F29" s="49"/>
      <c r="G29" s="49"/>
      <c r="H29" s="49"/>
      <c r="I29" s="49"/>
      <c r="J29" s="49"/>
      <c r="K29" s="14" t="str">
        <f>K14</f>
        <v>0</v>
      </c>
      <c r="L29" s="9" t="s">
        <v>25</v>
      </c>
    </row>
    <row r="30" spans="1:14">
      <c r="B30" s="49" t="s">
        <v>40</v>
      </c>
      <c r="C30" s="49"/>
      <c r="D30" s="49"/>
      <c r="E30" s="49"/>
      <c r="F30" s="49"/>
      <c r="G30" s="49"/>
      <c r="H30" s="49"/>
      <c r="I30" s="49"/>
      <c r="J30" s="49"/>
      <c r="K30" s="14" t="str">
        <f>IF(J11&lt;1, '2'!O7, '2'!O7*J11)</f>
        <v>0</v>
      </c>
      <c r="L30" s="9" t="s">
        <v>25</v>
      </c>
    </row>
    <row r="31" spans="1:14">
      <c r="B31" s="48" t="s">
        <v>41</v>
      </c>
      <c r="C31" s="48"/>
      <c r="D31" s="48"/>
      <c r="E31" s="48"/>
      <c r="F31" s="48"/>
      <c r="G31" s="48"/>
      <c r="H31" s="48"/>
      <c r="I31" s="48"/>
      <c r="J31" s="48"/>
      <c r="K31" s="15" t="str">
        <f>K26</f>
        <v>0</v>
      </c>
      <c r="L31" s="12" t="s">
        <v>25</v>
      </c>
    </row>
    <row r="32" spans="1:14">
      <c r="B32" s="51" t="s">
        <v>42</v>
      </c>
      <c r="C32" s="51"/>
      <c r="D32" s="51"/>
      <c r="E32" s="51"/>
      <c r="F32" s="51"/>
      <c r="G32" s="51"/>
      <c r="H32" s="51"/>
      <c r="I32" s="51"/>
      <c r="J32" s="51"/>
      <c r="K32" s="14" t="str">
        <f>SUM(K29:K31)</f>
        <v>0</v>
      </c>
      <c r="L32" s="9" t="s">
        <v>25</v>
      </c>
    </row>
    <row r="33" spans="1:14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4">
      <c r="B34" s="59" t="s">
        <v>43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4">
      <c r="B35" s="19" t="s">
        <v>44</v>
      </c>
      <c r="C35" s="56" t="s">
        <v>45</v>
      </c>
      <c r="D35" s="57"/>
      <c r="E35" s="58"/>
      <c r="F35" s="4" t="s">
        <v>46</v>
      </c>
      <c r="G35" s="56" t="s">
        <v>47</v>
      </c>
      <c r="H35" s="58"/>
      <c r="I35" s="3" t="s">
        <v>48</v>
      </c>
      <c r="J35" s="26" t="s">
        <v>37</v>
      </c>
      <c r="K35" s="47" t="s">
        <v>49</v>
      </c>
      <c r="L35" s="47"/>
    </row>
    <row r="36" spans="1:14">
      <c r="B36" s="5">
        <v>1</v>
      </c>
      <c r="C36" s="5" t="s">
        <v>50</v>
      </c>
      <c r="D36" s="5"/>
      <c r="E36" s="5"/>
      <c r="F36" s="5" t="str">
        <f>'2'!C10</f>
        <v>0</v>
      </c>
      <c r="G36" s="88" t="str">
        <f>'2'!C8</f>
        <v>0</v>
      </c>
      <c r="H36" s="6"/>
      <c r="I36" s="88" t="str">
        <f>'2'!C46</f>
        <v>0</v>
      </c>
      <c r="J36" s="88" t="str">
        <f>'2'!C44</f>
        <v>0</v>
      </c>
      <c r="K36" s="89" t="str">
        <f>'2'!C47</f>
        <v>0</v>
      </c>
      <c r="L36" s="47"/>
      <c r="M36" s="1"/>
    </row>
    <row r="37" spans="1:14">
      <c r="B37" s="5">
        <v>2</v>
      </c>
      <c r="C37" s="5" t="s">
        <v>51</v>
      </c>
      <c r="D37" s="5"/>
      <c r="E37" s="5"/>
      <c r="F37" s="5" t="str">
        <f>'2'!D10</f>
        <v>0</v>
      </c>
      <c r="G37" s="88" t="str">
        <f>'2'!D8</f>
        <v>0</v>
      </c>
      <c r="H37" s="6"/>
      <c r="I37" s="88" t="str">
        <f>'2'!D46</f>
        <v>0</v>
      </c>
      <c r="J37" s="88" t="str">
        <f>'2'!D44</f>
        <v>0</v>
      </c>
      <c r="K37" s="89" t="str">
        <f>'2'!D47</f>
        <v>0</v>
      </c>
      <c r="L37" s="47"/>
      <c r="M37" s="1"/>
    </row>
    <row r="38" spans="1:14">
      <c r="B38" s="5">
        <v>3</v>
      </c>
      <c r="C38" s="5" t="s">
        <v>52</v>
      </c>
      <c r="D38" s="5"/>
      <c r="E38" s="5"/>
      <c r="F38" s="5" t="str">
        <f>'2'!E10</f>
        <v>0</v>
      </c>
      <c r="G38" s="88" t="str">
        <f>'2'!E8</f>
        <v>0</v>
      </c>
      <c r="H38" s="6"/>
      <c r="I38" s="88" t="str">
        <f>'2'!E46</f>
        <v>0</v>
      </c>
      <c r="J38" s="88" t="str">
        <f>'2'!E44</f>
        <v>0</v>
      </c>
      <c r="K38" s="89" t="str">
        <f>'2'!E47</f>
        <v>0</v>
      </c>
      <c r="L38" s="47"/>
      <c r="M38" s="1"/>
    </row>
    <row r="39" spans="1:14" customHeight="1" ht="15.6">
      <c r="B39" s="5">
        <v>4</v>
      </c>
      <c r="C39" s="5" t="s">
        <v>53</v>
      </c>
      <c r="D39" s="5"/>
      <c r="E39" s="5"/>
      <c r="F39" s="5" t="str">
        <f>'2'!F10</f>
        <v>0</v>
      </c>
      <c r="G39" s="88" t="str">
        <f>'2'!F8</f>
        <v>0</v>
      </c>
      <c r="H39" s="5"/>
      <c r="I39" s="88" t="str">
        <f>'2'!F46</f>
        <v>0</v>
      </c>
      <c r="J39" s="88" t="str">
        <f>'2'!F44</f>
        <v>0</v>
      </c>
      <c r="K39" s="89" t="str">
        <f>'2'!F47</f>
        <v>0</v>
      </c>
      <c r="L39" s="90"/>
      <c r="M39" s="1"/>
    </row>
    <row r="40" spans="1:14" customHeight="1" ht="15.6">
      <c r="B40" s="5">
        <v>5</v>
      </c>
      <c r="C40" s="5" t="s">
        <v>54</v>
      </c>
      <c r="D40" s="5"/>
      <c r="E40" s="5"/>
      <c r="F40" s="5" t="str">
        <f>'2'!G10</f>
        <v>0</v>
      </c>
      <c r="G40" s="88" t="str">
        <f>'2'!G8</f>
        <v>0</v>
      </c>
      <c r="H40" s="5"/>
      <c r="I40" s="88" t="str">
        <f>'2'!G46</f>
        <v>0</v>
      </c>
      <c r="J40" s="88" t="str">
        <f>'2'!G44</f>
        <v>0</v>
      </c>
      <c r="K40" s="89" t="str">
        <f>'2'!G47</f>
        <v>0</v>
      </c>
      <c r="L40" s="90"/>
    </row>
    <row r="41" spans="1:14">
      <c r="B41" s="5">
        <v>6</v>
      </c>
      <c r="C41" s="5" t="s">
        <v>55</v>
      </c>
      <c r="D41" s="5"/>
      <c r="E41" s="5"/>
      <c r="F41" s="5" t="str">
        <f>'2'!H10</f>
        <v>0</v>
      </c>
      <c r="G41" s="88" t="str">
        <f>'2'!H8</f>
        <v>0</v>
      </c>
      <c r="H41" s="5"/>
      <c r="I41" s="88" t="str">
        <f>'2'!H46</f>
        <v>0</v>
      </c>
      <c r="J41" s="88" t="str">
        <f>'2'!H44</f>
        <v>0</v>
      </c>
      <c r="K41" s="89" t="str">
        <f>'2'!H47</f>
        <v>0</v>
      </c>
      <c r="L41" s="31"/>
    </row>
    <row r="42" spans="1:14" customHeight="1" ht="18">
      <c r="B42" s="91">
        <v>7</v>
      </c>
      <c r="C42" s="5" t="s">
        <v>56</v>
      </c>
      <c r="D42" s="5"/>
      <c r="E42" s="5"/>
      <c r="F42" s="5" t="str">
        <f>'2'!I10</f>
        <v>0</v>
      </c>
      <c r="G42" s="88" t="str">
        <f>'2'!I8</f>
        <v>0</v>
      </c>
      <c r="H42" s="5"/>
      <c r="I42" s="88" t="str">
        <f>'2'!I46</f>
        <v>0</v>
      </c>
      <c r="J42" s="88" t="str">
        <f>'2'!I44</f>
        <v>0</v>
      </c>
      <c r="K42" s="89" t="str">
        <f>'2'!I47</f>
        <v>0</v>
      </c>
      <c r="L42" s="3"/>
    </row>
    <row r="43" spans="1:14" customHeight="1" ht="18">
      <c r="B43" s="91">
        <v>8</v>
      </c>
      <c r="C43" s="5" t="s">
        <v>57</v>
      </c>
      <c r="D43" s="5"/>
      <c r="E43" s="5"/>
      <c r="F43" s="5" t="str">
        <f>'2'!J10</f>
        <v>0</v>
      </c>
      <c r="G43" s="88" t="str">
        <f>'2'!J8</f>
        <v>0</v>
      </c>
      <c r="H43" s="5"/>
      <c r="I43" s="88" t="str">
        <f>'2'!J46</f>
        <v>0</v>
      </c>
      <c r="J43" s="88" t="str">
        <f>'2'!J44</f>
        <v>0</v>
      </c>
      <c r="K43" s="89" t="str">
        <f>'2'!J47</f>
        <v>0</v>
      </c>
      <c r="L43" s="3"/>
    </row>
    <row r="44" spans="1:14" customHeight="1" ht="18">
      <c r="B44" s="93" t="s">
        <v>37</v>
      </c>
      <c r="C44" s="92"/>
      <c r="D44" s="92"/>
      <c r="E44" s="92"/>
      <c r="F44" s="93" t="str">
        <f>SUM(F36:F43)</f>
        <v>0</v>
      </c>
      <c r="G44" s="64"/>
      <c r="H44" s="64"/>
      <c r="I44" s="64"/>
      <c r="J44" s="94" t="str">
        <f>SUM(J36:J43)</f>
        <v>0</v>
      </c>
      <c r="K44" s="64"/>
      <c r="L44" s="64"/>
    </row>
    <row r="45" spans="1:14" customHeight="1" ht="18">
      <c r="B45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No se emite comprobante por concepto de "PERCEPCIÓN, ANTI DUMPING, GESTIÓN DE COMPRA"</t>
          </r>
        </is>
      </c>
      <c r="C45" s="64"/>
      <c r="D45" s="64"/>
      <c r="E45" s="64"/>
      <c r="F45" s="64"/>
      <c r="G45" s="64"/>
      <c r="H45" s="64"/>
      <c r="I45" s="64"/>
      <c r="J45" s="64"/>
      <c r="K45" s="64"/>
      <c r="L45" s="64"/>
    </row>
    <row r="46" spans="1:14" customHeight="1" ht="18">
      <c r="B46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A nosotros se nos pagan los </t>
          </r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Gastos Logísticos + Impuestos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 una semana antes de que el contenedor</t>
          </r>
        </is>
      </c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4" customHeight="1" ht="18">
      <c r="B47" s="64" t="s">
        <v>60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</row>
    <row r="48" spans="1:14" customHeight="1" ht="18">
      <c r="B48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El tipo de cambio referencial usado para la conversión a soles es del 3.70</t>
          </r>
        </is>
      </c>
      <c r="C48" s="64"/>
      <c r="D48" s="64"/>
      <c r="E48" s="64"/>
      <c r="F48" s="64"/>
      <c r="G48" s="64"/>
      <c r="H48" s="64"/>
      <c r="I48" s="64"/>
      <c r="J48" s="64"/>
      <c r="K48" s="64"/>
      <c r="L48" s="64"/>
    </row>
    <row r="49" spans="1:14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4" customHeight="1" ht="9">
      <c r="B50" s="38"/>
      <c r="C50" s="38"/>
      <c r="E50" s="38"/>
      <c r="F50" s="38"/>
      <c r="G50" s="38"/>
      <c r="H50" s="38"/>
      <c r="I50" s="38"/>
      <c r="J50" s="38"/>
      <c r="K50" s="38"/>
      <c r="L50" s="38"/>
      <c r="M50" s="38"/>
    </row>
    <row r="51" spans="1:14" customHeight="1" ht="31.8">
      <c r="B51" s="38"/>
      <c r="C51" s="38"/>
      <c r="D51" s="37" t="s">
        <v>0</v>
      </c>
      <c r="E51" s="37"/>
      <c r="F51" s="37"/>
      <c r="G51" s="37"/>
      <c r="H51" s="37"/>
      <c r="I51" s="37"/>
      <c r="J51" s="37"/>
      <c r="K51" s="37"/>
      <c r="L51" s="37"/>
      <c r="M51" s="37"/>
    </row>
    <row r="52" spans="1:14" customHeight="1" ht="21">
      <c r="B52" s="38"/>
      <c r="C52" s="38"/>
      <c r="D52" s="53" t="s">
        <v>62</v>
      </c>
      <c r="E52" s="53"/>
      <c r="F52" s="53"/>
      <c r="G52" s="53"/>
      <c r="H52" s="53"/>
      <c r="I52" s="53"/>
    </row>
    <row r="53" spans="1:14">
      <c r="B53" s="38"/>
      <c r="C53" s="38"/>
    </row>
    <row r="54" spans="1:14">
      <c r="B54" s="38"/>
      <c r="C54" s="38"/>
    </row>
    <row r="55" spans="1:14" customHeight="1" ht="21">
      <c r="B55" s="70" t="s">
        <v>63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</row>
    <row r="57" spans="1:14">
      <c r="B57" s="71" t="s">
        <v>64</v>
      </c>
      <c r="C57" s="71"/>
      <c r="D57" s="71"/>
      <c r="E57" s="71"/>
      <c r="F57" s="71"/>
      <c r="G57" s="71"/>
      <c r="H57" s="71"/>
      <c r="I57" s="71"/>
      <c r="J57" s="71"/>
      <c r="K57" s="71"/>
      <c r="L57" s="71"/>
    </row>
    <row r="58" spans="1:14">
      <c r="B58" s="71" t="s">
        <v>65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</row>
    <row r="59" spans="1:14">
      <c r="B59" s="49" t="s">
        <v>66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1:14">
      <c r="B60" s="71" t="s">
        <v>67</v>
      </c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spans="1:14">
      <c r="B61" s="71" t="s">
        <v>68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</row>
    <row r="62" spans="1:14">
      <c r="B62" s="49" t="s">
        <v>69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</row>
    <row r="63" spans="1:14">
      <c r="B63" s="71" t="s">
        <v>70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</row>
    <row r="64" spans="1:14">
      <c r="B64" s="71" t="s">
        <v>71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</row>
    <row r="65" spans="1:14">
      <c r="B65" s="71" t="s">
        <v>72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</row>
    <row r="66" spans="1:14">
      <c r="B66" s="71" t="s">
        <v>73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</row>
    <row r="67" spans="1:14">
      <c r="B67" s="71" t="s">
        <v>74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</row>
    <row r="68" spans="1:14">
      <c r="B68" s="71" t="s">
        <v>75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1:14">
      <c r="B69" s="71" t="s">
        <v>76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1:14">
      <c r="B70" s="71" t="s">
        <v>77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</row>
    <row r="71" spans="1:14">
      <c r="B71" s="71" t="s">
        <v>78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 spans="1:14">
      <c r="B72" s="71" t="s">
        <v>79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 spans="1:14">
      <c r="B73" s="71" t="inlineStr">
        <is>
          <r>
            <t xml:space="preserve">13.</t>
          </r>
          <r>
            <rPr>
              <rFont val="Calibri Light"/>
              <b val="false"/>
              <i val="false"/>
              <strike val="false"/>
              <color rgb="FF000000"/>
              <sz val="7"/>
              <u val="none"/>
            </rPr>
            <t xml:space="preserve"> </t>
          </r>
          <r>
            <rPr>
              <rFont val="Calibri Light"/>
              <b val="false"/>
              <i val="false"/>
              <strike val="false"/>
              <color rgb="FF000000"/>
              <sz val="11"/>
              <u val="none"/>
            </rPr>
            <t xml:space="preserve">Los documentos de importación deber ser entregados a tiempo, de lo contrario, el participante no tendrá opción</t>
          </r>
        </is>
      </c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spans="1:14">
      <c r="B74" s="67" t="s">
        <v>81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</row>
    <row r="75" spans="1:14">
      <c r="B75" s="71" t="s">
        <v>82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67" t="s">
        <v>83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1:14">
      <c r="B77" s="71" t="s">
        <v>84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1:14">
      <c r="B78" s="71" t="s">
        <v>85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4">
      <c r="B79" s="71" t="s">
        <v>86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4">
      <c r="B80" s="71" t="s">
        <v>87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1:14">
      <c r="B81" s="71" t="s">
        <v>88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4">
      <c r="A82" s="32"/>
      <c r="B82" s="72" t="s">
        <v>89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</row>
    <row r="83" spans="1:14">
      <c r="A83" s="32"/>
      <c r="B83" s="71" t="s">
        <v>90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4">
      <c r="A84" s="32"/>
      <c r="B84" s="72" t="s">
        <v>91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</row>
    <row r="86" spans="1:14">
      <c r="C86" s="38"/>
      <c r="D86" s="38"/>
      <c r="E86" s="38"/>
      <c r="F86" s="38"/>
      <c r="G86" s="38"/>
      <c r="H86" s="38"/>
      <c r="I86" s="38"/>
    </row>
    <row r="87" spans="1:14">
      <c r="C87" s="38"/>
      <c r="D87" s="38"/>
      <c r="E87" s="38"/>
      <c r="F87" s="38"/>
      <c r="G87" s="38"/>
      <c r="H87" s="38"/>
      <c r="I87" s="38"/>
    </row>
    <row r="88" spans="1:14">
      <c r="C88" s="38"/>
      <c r="D88" s="38"/>
      <c r="E88" s="38"/>
      <c r="F88" s="38"/>
      <c r="G88" s="38"/>
      <c r="H88" s="38"/>
      <c r="I88" s="38"/>
    </row>
    <row r="89" spans="1:14">
      <c r="C89" s="38"/>
      <c r="D89" s="38"/>
      <c r="E89" s="38"/>
      <c r="F89" s="38"/>
      <c r="G89" s="38"/>
      <c r="H89" s="38"/>
      <c r="I89" s="38"/>
    </row>
    <row r="90" spans="1:14">
      <c r="C90" s="38"/>
      <c r="D90" s="38"/>
      <c r="E90" s="38"/>
      <c r="F90" s="38"/>
      <c r="G90" s="38"/>
      <c r="H90" s="38"/>
      <c r="I90" s="38"/>
    </row>
    <row r="91" spans="1:14">
      <c r="C91" s="38"/>
      <c r="D91" s="38"/>
      <c r="E91" s="38"/>
      <c r="F91" s="38"/>
      <c r="G91" s="38"/>
      <c r="H91" s="38"/>
      <c r="I91" s="38"/>
    </row>
    <row r="92" spans="1:14">
      <c r="C92" s="38"/>
      <c r="D92" s="38"/>
      <c r="E92" s="38"/>
      <c r="F92" s="38"/>
      <c r="G92" s="38"/>
      <c r="H92" s="38"/>
      <c r="I92" s="38"/>
    </row>
    <row r="93" spans="1:14" customHeight="1" ht="15.6">
      <c r="C93" s="38"/>
      <c r="D93" s="38"/>
      <c r="E93" s="38"/>
      <c r="F93" s="38"/>
      <c r="G93" s="38"/>
      <c r="H93" s="38"/>
      <c r="I93" s="38"/>
    </row>
    <row r="94" spans="1:14" customHeight="1" ht="15.6">
      <c r="C94" s="38"/>
      <c r="D94" s="38"/>
      <c r="E94" s="38"/>
      <c r="F94" s="38"/>
      <c r="G94" s="38"/>
      <c r="H94" s="38"/>
      <c r="I94" s="38"/>
    </row>
    <row r="95" spans="1:14">
      <c r="C95" s="38"/>
      <c r="D95" s="38"/>
      <c r="E95" s="38"/>
      <c r="F95" s="38"/>
      <c r="G95" s="38"/>
      <c r="H95" s="38"/>
      <c r="I95" s="38"/>
    </row>
    <row r="101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4:L74"/>
    <mergeCell ref="B75:L75"/>
    <mergeCell ref="A7:C7"/>
    <mergeCell ref="I7:L7"/>
    <mergeCell ref="B59:L59"/>
    <mergeCell ref="B48:L48"/>
    <mergeCell ref="C38:E38"/>
    <mergeCell ref="K38:L38"/>
    <mergeCell ref="B57:L57"/>
    <mergeCell ref="B70:L70"/>
    <mergeCell ref="B58:L58"/>
    <mergeCell ref="G37:H37"/>
    <mergeCell ref="J11:L11"/>
    <mergeCell ref="B84:L84"/>
    <mergeCell ref="B67:L67"/>
    <mergeCell ref="B68:L68"/>
    <mergeCell ref="B69:L69"/>
    <mergeCell ref="B60:L60"/>
    <mergeCell ref="B61:L61"/>
    <mergeCell ref="B62:L62"/>
    <mergeCell ref="B63:L63"/>
    <mergeCell ref="B64:L64"/>
    <mergeCell ref="B65:L65"/>
    <mergeCell ref="B66:L66"/>
    <mergeCell ref="B71:L71"/>
    <mergeCell ref="B72:L72"/>
    <mergeCell ref="B73:L73"/>
    <mergeCell ref="B83:L83"/>
    <mergeCell ref="B82:L82"/>
    <mergeCell ref="B81:L81"/>
    <mergeCell ref="B76:L76"/>
    <mergeCell ref="B77:L77"/>
    <mergeCell ref="B78:L78"/>
    <mergeCell ref="B79:L79"/>
    <mergeCell ref="B80:L80"/>
    <mergeCell ref="B50:C54"/>
    <mergeCell ref="B19:F19"/>
    <mergeCell ref="C35:E35"/>
    <mergeCell ref="B55:L55"/>
    <mergeCell ref="B46:L46"/>
    <mergeCell ref="G38:H38"/>
    <mergeCell ref="K37:L37"/>
    <mergeCell ref="C37:E37"/>
    <mergeCell ref="B27:I27"/>
    <mergeCell ref="B23:I23"/>
    <mergeCell ref="B20:I20"/>
    <mergeCell ref="B21:I21"/>
    <mergeCell ref="B22:I22"/>
    <mergeCell ref="D51:J51"/>
    <mergeCell ref="B31:J31"/>
    <mergeCell ref="B26:I26"/>
    <mergeCell ref="B12:L12"/>
    <mergeCell ref="B13:J13"/>
    <mergeCell ref="B14:J14"/>
    <mergeCell ref="B16:J16"/>
    <mergeCell ref="B15:J15"/>
    <mergeCell ref="C86:I95"/>
    <mergeCell ref="A1:L1"/>
    <mergeCell ref="E2:L2"/>
    <mergeCell ref="D52:I52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7:L47"/>
    <mergeCell ref="B45:L45"/>
    <mergeCell ref="F11:G11"/>
    <mergeCell ref="K51:M51"/>
    <mergeCell ref="E50:M50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B44:E44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9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7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24.708252" bestFit="true" customWidth="true" style="0"/>
    <col min="3" max="3" width="32.991943" bestFit="true" customWidth="true" style="0"/>
    <col min="4" max="4" width="34.134521" bestFit="true" customWidth="true" style="0"/>
    <col min="5" max="5" width="31.706543" bestFit="true" customWidth="true" style="0"/>
    <col min="6" max="6" width="35.2771" bestFit="true" customWidth="true" style="0"/>
    <col min="7" max="7" width="28.135986" bestFit="true" customWidth="true" style="0"/>
    <col min="8" max="8" width="21.137695" bestFit="true" customWidth="true" style="0"/>
    <col min="9" max="9" width="38.847656" bestFit="true" customWidth="true" style="0"/>
    <col min="10" max="10" width="37.705078" bestFit="true" customWidth="true" style="0"/>
    <col min="11" max="11" width="12.854004" bestFit="true" customWidth="true" style="0"/>
  </cols>
  <sheetData>
    <row r="3" spans="1:15">
      <c r="B3" s="75" t="s">
        <v>92</v>
      </c>
      <c r="C3" s="74"/>
      <c r="D3" s="74"/>
      <c r="E3" s="74"/>
      <c r="F3" s="74"/>
      <c r="G3" s="74"/>
    </row>
    <row r="5" spans="1:15">
      <c r="B5" s="78" t="s">
        <v>93</v>
      </c>
      <c r="C5" s="80" t="s">
        <v>50</v>
      </c>
      <c r="D5" s="80" t="s">
        <v>51</v>
      </c>
      <c r="E5" s="80" t="s">
        <v>52</v>
      </c>
      <c r="F5" s="80" t="s">
        <v>53</v>
      </c>
      <c r="G5" s="80" t="s">
        <v>54</v>
      </c>
      <c r="H5" s="80" t="s">
        <v>55</v>
      </c>
      <c r="I5" s="80" t="s">
        <v>56</v>
      </c>
      <c r="J5" s="80" t="s">
        <v>57</v>
      </c>
      <c r="K5" s="80" t="s">
        <v>94</v>
      </c>
    </row>
    <row r="6" spans="1:15">
      <c r="B6" s="74" t="s">
        <v>95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82">
        <v>100</v>
      </c>
      <c r="N6" s="76" t="s">
        <v>96</v>
      </c>
      <c r="O6" s="76" t="s">
        <v>97</v>
      </c>
    </row>
    <row r="7" spans="1:15">
      <c r="B7" s="74" t="s">
        <v>98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83">
        <v>1.55</v>
      </c>
      <c r="N7" s="77" t="s">
        <v>19</v>
      </c>
      <c r="O7" s="77">
        <v>280</v>
      </c>
    </row>
    <row r="8" spans="1:15">
      <c r="B8" s="74" t="s">
        <v>99</v>
      </c>
      <c r="C8" s="81">
        <v>1.8</v>
      </c>
      <c r="D8" s="81">
        <v>1.55</v>
      </c>
      <c r="E8" s="81">
        <v>2.05</v>
      </c>
      <c r="F8" s="81">
        <v>1.65</v>
      </c>
      <c r="G8" s="81">
        <v>2.2</v>
      </c>
      <c r="H8" s="81">
        <v>1.65</v>
      </c>
      <c r="I8" s="81">
        <v>1.334375</v>
      </c>
      <c r="J8" s="81">
        <v>1.54</v>
      </c>
      <c r="K8" s="74"/>
    </row>
    <row r="9" spans="1:15">
      <c r="B9" s="79" t="s">
        <v>100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74"/>
    </row>
    <row r="10" spans="1:15">
      <c r="B10" s="74" t="s">
        <v>101</v>
      </c>
      <c r="C10" s="74">
        <v>250</v>
      </c>
      <c r="D10" s="74">
        <v>390</v>
      </c>
      <c r="E10" s="74">
        <v>199</v>
      </c>
      <c r="F10" s="74">
        <v>265</v>
      </c>
      <c r="G10" s="74">
        <v>300</v>
      </c>
      <c r="H10" s="74">
        <v>275</v>
      </c>
      <c r="I10" s="74">
        <v>520</v>
      </c>
      <c r="J10" s="74">
        <v>140</v>
      </c>
      <c r="K10" s="74" t="str">
        <f>SUM(C10:J10)</f>
        <v>0</v>
      </c>
    </row>
    <row r="11" spans="1:15">
      <c r="B11" s="74" t="s">
        <v>102</v>
      </c>
      <c r="C11" s="81" t="str">
        <f>C8*C10</f>
        <v>0</v>
      </c>
      <c r="D11" s="81" t="str">
        <f>D8*D10</f>
        <v>0</v>
      </c>
      <c r="E11" s="81" t="str">
        <f>E8*E10</f>
        <v>0</v>
      </c>
      <c r="F11" s="81" t="str">
        <f>F8*F10</f>
        <v>0</v>
      </c>
      <c r="G11" s="81" t="str">
        <f>G8*G10</f>
        <v>0</v>
      </c>
      <c r="H11" s="81" t="str">
        <f>H8*H10</f>
        <v>0</v>
      </c>
      <c r="I11" s="81" t="str">
        <f>I8*I10</f>
        <v>0</v>
      </c>
      <c r="J11" s="81" t="str">
        <f>J8*J10</f>
        <v>0</v>
      </c>
      <c r="K11" s="86" t="str">
        <f>SUM(C11:J11)</f>
        <v>0</v>
      </c>
    </row>
    <row r="12" spans="1:15">
      <c r="B12" s="79" t="s">
        <v>103</v>
      </c>
      <c r="C12" s="81" t="str">
        <f>C10*C9</f>
        <v>0</v>
      </c>
      <c r="D12" s="81" t="str">
        <f>D10*D9</f>
        <v>0</v>
      </c>
      <c r="E12" s="81" t="str">
        <f>E10*E9</f>
        <v>0</v>
      </c>
      <c r="F12" s="81" t="str">
        <f>F10*F9</f>
        <v>0</v>
      </c>
      <c r="G12" s="81" t="str">
        <f>G10*G9</f>
        <v>0</v>
      </c>
      <c r="H12" s="81" t="str">
        <f>H10*H9</f>
        <v>0</v>
      </c>
      <c r="I12" s="81" t="str">
        <f>I10*I9</f>
        <v>0</v>
      </c>
      <c r="J12" s="81" t="str">
        <f>J10*J9</f>
        <v>0</v>
      </c>
      <c r="K12" s="86" t="str">
        <f>SUM(C12:J12)</f>
        <v>0</v>
      </c>
    </row>
    <row r="13" spans="1:15">
      <c r="B13" s="74" t="s">
        <v>104</v>
      </c>
      <c r="C13" s="84" t="str">
        <f>C11/K11</f>
        <v>0</v>
      </c>
      <c r="D13" s="84" t="str">
        <f>D11/K11</f>
        <v>0</v>
      </c>
      <c r="E13" s="84" t="str">
        <f>E11/K11</f>
        <v>0</v>
      </c>
      <c r="F13" s="84" t="str">
        <f>F11/K11</f>
        <v>0</v>
      </c>
      <c r="G13" s="84" t="str">
        <f>G11/K11</f>
        <v>0</v>
      </c>
      <c r="H13" s="84" t="str">
        <f>H11/K11</f>
        <v>0</v>
      </c>
      <c r="I13" s="84" t="str">
        <f>I11/K11</f>
        <v>0</v>
      </c>
      <c r="J13" s="84" t="str">
        <f>J11/K11</f>
        <v>0</v>
      </c>
      <c r="K13" s="74"/>
    </row>
    <row r="14" spans="1:15">
      <c r="B14" s="74" t="s">
        <v>105</v>
      </c>
      <c r="C14" s="81" t="str">
        <f>K14*C13</f>
        <v>0</v>
      </c>
      <c r="D14" s="81" t="str">
        <f>K14*D13</f>
        <v>0</v>
      </c>
      <c r="E14" s="81" t="str">
        <f>K14*E13</f>
        <v>0</v>
      </c>
      <c r="F14" s="81" t="str">
        <f>K14*F13</f>
        <v>0</v>
      </c>
      <c r="G14" s="81" t="str">
        <f>K14*G13</f>
        <v>0</v>
      </c>
      <c r="H14" s="81" t="str">
        <f>K14*H13</f>
        <v>0</v>
      </c>
      <c r="I14" s="81" t="str">
        <f>K14*I13</f>
        <v>0</v>
      </c>
      <c r="J14" s="81" t="str">
        <f>K14*J13</f>
        <v>0</v>
      </c>
      <c r="K14" s="86" t="str">
        <f>IF(K7&lt;1, O7*0.6, O7*0.6*K7)</f>
        <v>0</v>
      </c>
    </row>
    <row r="15" spans="1:15">
      <c r="B15" s="74" t="s">
        <v>106</v>
      </c>
      <c r="C15" s="81" t="str">
        <f>C11+C14</f>
        <v>0</v>
      </c>
      <c r="D15" s="81" t="str">
        <f>D11+D14</f>
        <v>0</v>
      </c>
      <c r="E15" s="81" t="str">
        <f>E11+E14</f>
        <v>0</v>
      </c>
      <c r="F15" s="81" t="str">
        <f>F11+F14</f>
        <v>0</v>
      </c>
      <c r="G15" s="81" t="str">
        <f>G11+G14</f>
        <v>0</v>
      </c>
      <c r="H15" s="81" t="str">
        <f>H11+H14</f>
        <v>0</v>
      </c>
      <c r="I15" s="81" t="str">
        <f>I11+I14</f>
        <v>0</v>
      </c>
      <c r="J15" s="81" t="str">
        <f>J11+J14</f>
        <v>0</v>
      </c>
      <c r="K15" s="86" t="str">
        <f>SUM(C15:J15)</f>
        <v>0</v>
      </c>
    </row>
    <row r="16" spans="1:15">
      <c r="B16" s="79" t="s">
        <v>107</v>
      </c>
      <c r="C16" s="81" t="str">
        <f>C12+C14</f>
        <v>0</v>
      </c>
      <c r="D16" s="81" t="str">
        <f>D12+D14</f>
        <v>0</v>
      </c>
      <c r="E16" s="81" t="str">
        <f>E12+E14</f>
        <v>0</v>
      </c>
      <c r="F16" s="81" t="str">
        <f>F12+F14</f>
        <v>0</v>
      </c>
      <c r="G16" s="81" t="str">
        <f>G12+G14</f>
        <v>0</v>
      </c>
      <c r="H16" s="81" t="str">
        <f>H12+H14</f>
        <v>0</v>
      </c>
      <c r="I16" s="81" t="str">
        <f>I12+I14</f>
        <v>0</v>
      </c>
      <c r="J16" s="81" t="str">
        <f>J12+J14</f>
        <v>0</v>
      </c>
      <c r="K16" s="86" t="str">
        <f>SUM(C16:J16)</f>
        <v>0</v>
      </c>
    </row>
    <row r="17" spans="1:15">
      <c r="B17" s="74" t="s">
        <v>108</v>
      </c>
      <c r="C17" s="81" t="str">
        <f>IF(K11&gt;5000,100*C13,50*C13)</f>
        <v>0</v>
      </c>
      <c r="D17" s="81" t="str">
        <f>IF(K11&gt;5000,100*D13,50*D13)</f>
        <v>0</v>
      </c>
      <c r="E17" s="81" t="str">
        <f>IF(K11&gt;5000,100*E13,50*E13)</f>
        <v>0</v>
      </c>
      <c r="F17" s="81" t="str">
        <f>IF(K11&gt;5000,100*F13,50*F13)</f>
        <v>0</v>
      </c>
      <c r="G17" s="81" t="str">
        <f>IF(K11&gt;5000,100*G13,50*G13)</f>
        <v>0</v>
      </c>
      <c r="H17" s="81" t="str">
        <f>IF(K11&gt;5000,100*H13,50*H13)</f>
        <v>0</v>
      </c>
      <c r="I17" s="81" t="str">
        <f>IF(K11&gt;5000,100*I13,50*I13)</f>
        <v>0</v>
      </c>
      <c r="J17" s="81" t="str">
        <f>IF(K11&gt;5000,100*J13,50*J13)</f>
        <v>0</v>
      </c>
      <c r="K17" s="86" t="str">
        <f>SUM(C17:J17)</f>
        <v>0</v>
      </c>
    </row>
    <row r="18" spans="1:15">
      <c r="B18" s="74" t="s">
        <v>109</v>
      </c>
      <c r="C18" s="81" t="str">
        <f>C15+C17</f>
        <v>0</v>
      </c>
      <c r="D18" s="81" t="str">
        <f>D15+D17</f>
        <v>0</v>
      </c>
      <c r="E18" s="81" t="str">
        <f>E15+E17</f>
        <v>0</v>
      </c>
      <c r="F18" s="81" t="str">
        <f>F15+F17</f>
        <v>0</v>
      </c>
      <c r="G18" s="81" t="str">
        <f>G15+G17</f>
        <v>0</v>
      </c>
      <c r="H18" s="81" t="str">
        <f>H15+H17</f>
        <v>0</v>
      </c>
      <c r="I18" s="81" t="str">
        <f>I15+I17</f>
        <v>0</v>
      </c>
      <c r="J18" s="81" t="str">
        <f>J15+J17</f>
        <v>0</v>
      </c>
      <c r="K18" s="86" t="str">
        <f>SUM(C18:J18)</f>
        <v>0</v>
      </c>
    </row>
    <row r="19" spans="1:15">
      <c r="B19" s="79" t="s">
        <v>110</v>
      </c>
      <c r="C19" s="81" t="str">
        <f>C16+C17</f>
        <v>0</v>
      </c>
      <c r="D19" s="81" t="str">
        <f>D16+D17</f>
        <v>0</v>
      </c>
      <c r="E19" s="81" t="str">
        <f>E16+E17</f>
        <v>0</v>
      </c>
      <c r="F19" s="81" t="str">
        <f>F16+F17</f>
        <v>0</v>
      </c>
      <c r="G19" s="81" t="str">
        <f>G16+G17</f>
        <v>0</v>
      </c>
      <c r="H19" s="81" t="str">
        <f>H16+H17</f>
        <v>0</v>
      </c>
      <c r="I19" s="81" t="str">
        <f>I16+I17</f>
        <v>0</v>
      </c>
      <c r="J19" s="81" t="str">
        <f>J16+J17</f>
        <v>0</v>
      </c>
      <c r="K19" s="86" t="str">
        <f>SUM(C19:J19)</f>
        <v>0</v>
      </c>
    </row>
    <row r="23" spans="1:15">
      <c r="B23" s="75" t="s">
        <v>111</v>
      </c>
      <c r="C23" s="74"/>
      <c r="D23" s="74"/>
      <c r="E23" s="74"/>
    </row>
    <row r="26" spans="1:15">
      <c r="B26" s="74" t="s">
        <v>112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>
        <v>0</v>
      </c>
      <c r="K26" s="81" t="str">
        <f>SUM(C26:J26)</f>
        <v>0</v>
      </c>
    </row>
    <row r="27" spans="1:15"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4" t="str">
        <f>SUM(C27:J27)</f>
        <v>0</v>
      </c>
    </row>
    <row r="28" spans="1:15">
      <c r="B28" s="74" t="s">
        <v>113</v>
      </c>
      <c r="C28" s="81" t="str">
        <f>MAX(C19,C18)*C27</f>
        <v>0</v>
      </c>
      <c r="D28" s="81" t="str">
        <f>MAX(D19,D18)*D27</f>
        <v>0</v>
      </c>
      <c r="E28" s="81" t="str">
        <f>MAX(E19,E18)*E27</f>
        <v>0</v>
      </c>
      <c r="F28" s="81" t="str">
        <f>MAX(F19,F18)*F27</f>
        <v>0</v>
      </c>
      <c r="G28" s="81" t="str">
        <f>MAX(G19,G18)*G27</f>
        <v>0</v>
      </c>
      <c r="H28" s="81" t="str">
        <f>MAX(H19,H18)*H27</f>
        <v>0</v>
      </c>
      <c r="I28" s="81" t="str">
        <f>MAX(I19,I18)*I27</f>
        <v>0</v>
      </c>
      <c r="J28" s="81" t="str">
        <f>MAX(J19,J18)*J27</f>
        <v>0</v>
      </c>
      <c r="K28" s="81" t="str">
        <f>SUM(C28:J28)</f>
        <v>0</v>
      </c>
    </row>
    <row r="29" spans="1:15">
      <c r="B29" s="74" t="s">
        <v>32</v>
      </c>
      <c r="C29" s="81" t="str">
        <f>0.16*(MAX(C19,C18)+C28)</f>
        <v>0</v>
      </c>
      <c r="D29" s="81" t="str">
        <f>0.16*(MAX(D19,D18)+D28)</f>
        <v>0</v>
      </c>
      <c r="E29" s="81" t="str">
        <f>0.16*(MAX(E19,E18)+E28)</f>
        <v>0</v>
      </c>
      <c r="F29" s="81" t="str">
        <f>0.16*(MAX(F19,F18)+F28)</f>
        <v>0</v>
      </c>
      <c r="G29" s="81" t="str">
        <f>0.16*(MAX(G19,G18)+G28)</f>
        <v>0</v>
      </c>
      <c r="H29" s="81" t="str">
        <f>0.16*(MAX(H19,H18)+H28)</f>
        <v>0</v>
      </c>
      <c r="I29" s="81" t="str">
        <f>0.16*(MAX(I19,I18)+I28)</f>
        <v>0</v>
      </c>
      <c r="J29" s="81" t="str">
        <f>0.16*(MAX(J19,J18)+J28)</f>
        <v>0</v>
      </c>
      <c r="K29" s="81" t="str">
        <f>SUM(C29:J29)</f>
        <v>0</v>
      </c>
    </row>
    <row r="30" spans="1:15">
      <c r="B30" s="74" t="s">
        <v>33</v>
      </c>
      <c r="C30" s="81" t="str">
        <f>0.02*(MAX(C19,C18)+C28)</f>
        <v>0</v>
      </c>
      <c r="D30" s="81" t="str">
        <f>0.02*(MAX(D19,D18)+D28)</f>
        <v>0</v>
      </c>
      <c r="E30" s="81" t="str">
        <f>0.02*(MAX(E19,E18)+E28)</f>
        <v>0</v>
      </c>
      <c r="F30" s="81" t="str">
        <f>0.02*(MAX(F19,F18)+F28)</f>
        <v>0</v>
      </c>
      <c r="G30" s="81" t="str">
        <f>0.02*(MAX(G19,G18)+G28)</f>
        <v>0</v>
      </c>
      <c r="H30" s="81" t="str">
        <f>0.02*(MAX(H19,H18)+H28)</f>
        <v>0</v>
      </c>
      <c r="I30" s="81" t="str">
        <f>0.02*(MAX(I19,I18)+I28)</f>
        <v>0</v>
      </c>
      <c r="J30" s="81" t="str">
        <f>0.02*(MAX(J19,J18)+J28)</f>
        <v>0</v>
      </c>
      <c r="K30" s="81" t="str">
        <f>SUM(C30:J30)</f>
        <v>0</v>
      </c>
    </row>
    <row r="31" spans="1:15">
      <c r="B31" s="74" t="s">
        <v>114</v>
      </c>
      <c r="C31" s="81" t="str">
        <f>0.035*(MAX(C18,C19) +C28+C29+C30)</f>
        <v>0</v>
      </c>
      <c r="D31" s="81" t="str">
        <f>0.035*(MAX(D18,D19) +D28+D29+D30)</f>
        <v>0</v>
      </c>
      <c r="E31" s="81" t="str">
        <f>0.035*(MAX(E18,E19) +E28+E29+E30)</f>
        <v>0</v>
      </c>
      <c r="F31" s="81" t="str">
        <f>0.035*(MAX(F18,F19) +F28+F29+F30)</f>
        <v>0</v>
      </c>
      <c r="G31" s="81" t="str">
        <f>0.035*(MAX(G18,G19) +G28+G29+G30)</f>
        <v>0</v>
      </c>
      <c r="H31" s="81" t="str">
        <f>0.035*(MAX(H18,H19) +H28+H29+H30)</f>
        <v>0</v>
      </c>
      <c r="I31" s="81" t="str">
        <f>0.035*(MAX(I18,I19) +I28+I29+I30)</f>
        <v>0</v>
      </c>
      <c r="J31" s="81" t="str">
        <f>0.035*(MAX(J18,J19) +J28+J29+J30)</f>
        <v>0</v>
      </c>
      <c r="K31" s="81" t="str">
        <f>SUM(C31:J31)</f>
        <v>0</v>
      </c>
    </row>
    <row r="32" spans="1:15">
      <c r="B32" s="74" t="s">
        <v>37</v>
      </c>
      <c r="C32" s="81" t="str">
        <f>SUM(C28:C31)</f>
        <v>0</v>
      </c>
      <c r="D32" s="81" t="str">
        <f>SUM(D28:D31)</f>
        <v>0</v>
      </c>
      <c r="E32" s="81" t="str">
        <f>SUM(E28:E31)</f>
        <v>0</v>
      </c>
      <c r="F32" s="81" t="str">
        <f>SUM(F28:F31)</f>
        <v>0</v>
      </c>
      <c r="G32" s="81" t="str">
        <f>SUM(G28:G31)</f>
        <v>0</v>
      </c>
      <c r="H32" s="81" t="str">
        <f>SUM(H28:H31)</f>
        <v>0</v>
      </c>
      <c r="I32" s="81" t="str">
        <f>SUM(I28:I31)</f>
        <v>0</v>
      </c>
      <c r="J32" s="81" t="str">
        <f>SUM(J28:J31)</f>
        <v>0</v>
      </c>
      <c r="K32" s="81" t="str">
        <f>SUM(K28:K31)</f>
        <v>0</v>
      </c>
    </row>
    <row r="37" spans="1:15">
      <c r="B37" s="75" t="s">
        <v>115</v>
      </c>
      <c r="C37" s="74"/>
      <c r="D37" s="74"/>
      <c r="E37" s="74"/>
    </row>
    <row r="40" spans="1:15">
      <c r="B40" s="74" t="s">
        <v>116</v>
      </c>
      <c r="C40" s="81" t="str">
        <f>C13*K40</f>
        <v>0</v>
      </c>
      <c r="D40" s="81" t="str">
        <f>D13*K40</f>
        <v>0</v>
      </c>
      <c r="E40" s="81" t="str">
        <f>E13*K40</f>
        <v>0</v>
      </c>
      <c r="F40" s="81" t="str">
        <f>F13*K40</f>
        <v>0</v>
      </c>
      <c r="G40" s="81" t="str">
        <f>G13*K40</f>
        <v>0</v>
      </c>
      <c r="H40" s="81" t="str">
        <f>H13*K40</f>
        <v>0</v>
      </c>
      <c r="I40" s="81" t="str">
        <f>I13*K40</f>
        <v>0</v>
      </c>
      <c r="J40" s="81" t="str">
        <f>J13*K40</f>
        <v>0</v>
      </c>
      <c r="K40" s="81" t="str">
        <f>IF(K7&lt;1, O7*0.4,O7*0.4*K7)</f>
        <v>0</v>
      </c>
    </row>
    <row r="41" spans="1:15">
      <c r="B41"/>
    </row>
    <row r="43" spans="1:15">
      <c r="B43" s="74" t="s">
        <v>116</v>
      </c>
      <c r="C43" s="74" t="s">
        <v>50</v>
      </c>
      <c r="D43" s="74" t="s">
        <v>51</v>
      </c>
      <c r="E43" s="74" t="s">
        <v>52</v>
      </c>
      <c r="F43" s="74" t="s">
        <v>53</v>
      </c>
      <c r="G43" s="74" t="s">
        <v>54</v>
      </c>
      <c r="H43" s="74" t="s">
        <v>55</v>
      </c>
      <c r="I43" s="74" t="s">
        <v>56</v>
      </c>
      <c r="J43" s="74" t="s">
        <v>57</v>
      </c>
      <c r="K43" s="74" t="s">
        <v>94</v>
      </c>
    </row>
    <row r="44" spans="1:15">
      <c r="B44" s="74" t="s">
        <v>117</v>
      </c>
      <c r="C44" s="81" t="str">
        <f>SUM(C15,C40,C32,(C26))</f>
        <v>0</v>
      </c>
      <c r="D44" s="81" t="str">
        <f>SUM(D15,D40,D32,(D26))</f>
        <v>0</v>
      </c>
      <c r="E44" s="81" t="str">
        <f>SUM(E15,E40,E32,(E26))</f>
        <v>0</v>
      </c>
      <c r="F44" s="81" t="str">
        <f>SUM(F15,F40,F32,(F26))</f>
        <v>0</v>
      </c>
      <c r="G44" s="81" t="str">
        <f>SUM(G15,G40,G32,(G26))</f>
        <v>0</v>
      </c>
      <c r="H44" s="81" t="str">
        <f>SUM(H15,H40,H32,(H26))</f>
        <v>0</v>
      </c>
      <c r="I44" s="81" t="str">
        <f>SUM(I15,I40,I32,(I26))</f>
        <v>0</v>
      </c>
      <c r="J44" s="81" t="str">
        <f>SUM(J15,J40,J32,(J26))</f>
        <v>0</v>
      </c>
      <c r="K44" s="81" t="str">
        <f>SUM(C44:J44)</f>
        <v>0</v>
      </c>
    </row>
    <row r="45" spans="1:15">
      <c r="B45" s="74" t="s">
        <v>46</v>
      </c>
      <c r="C45" s="74">
        <v>250</v>
      </c>
      <c r="D45" s="74">
        <v>390</v>
      </c>
      <c r="E45" s="74">
        <v>199</v>
      </c>
      <c r="F45" s="74">
        <v>265</v>
      </c>
      <c r="G45" s="74">
        <v>300</v>
      </c>
      <c r="H45" s="74">
        <v>275</v>
      </c>
      <c r="I45" s="74">
        <v>520</v>
      </c>
      <c r="J45" s="74">
        <v>140</v>
      </c>
      <c r="K45" s="74"/>
    </row>
    <row r="46" spans="1:15">
      <c r="B46" s="74" t="s">
        <v>118</v>
      </c>
      <c r="C46" s="81" t="str">
        <f>SUM(C44/C45)</f>
        <v>0</v>
      </c>
      <c r="D46" s="81" t="str">
        <f>SUM(D44/D45)</f>
        <v>0</v>
      </c>
      <c r="E46" s="81" t="str">
        <f>SUM(E44/E45)</f>
        <v>0</v>
      </c>
      <c r="F46" s="81" t="str">
        <f>SUM(F44/F45)</f>
        <v>0</v>
      </c>
      <c r="G46" s="81" t="str">
        <f>SUM(G44/G45)</f>
        <v>0</v>
      </c>
      <c r="H46" s="81" t="str">
        <f>SUM(H44/H45)</f>
        <v>0</v>
      </c>
      <c r="I46" s="81" t="str">
        <f>SUM(I44/I45)</f>
        <v>0</v>
      </c>
      <c r="J46" s="81" t="str">
        <f>SUM(J44/J45)</f>
        <v>0</v>
      </c>
      <c r="K46" s="74"/>
    </row>
    <row r="47" spans="1:15">
      <c r="B47" s="74" t="s">
        <v>119</v>
      </c>
      <c r="C47" s="85" t="str">
        <f>C46*3.7</f>
        <v>0</v>
      </c>
      <c r="D47" s="85" t="str">
        <f>D46*3.7</f>
        <v>0</v>
      </c>
      <c r="E47" s="85" t="str">
        <f>E46*3.7</f>
        <v>0</v>
      </c>
      <c r="F47" s="85" t="str">
        <f>F46*3.7</f>
        <v>0</v>
      </c>
      <c r="G47" s="85" t="str">
        <f>G46*3.7</f>
        <v>0</v>
      </c>
      <c r="H47" s="85" t="str">
        <f>H46*3.7</f>
        <v>0</v>
      </c>
      <c r="I47" s="85" t="str">
        <f>I46*3.7</f>
        <v>0</v>
      </c>
      <c r="J47" s="85" t="str">
        <f>J46*3.7</f>
        <v>0</v>
      </c>
      <c r="K47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