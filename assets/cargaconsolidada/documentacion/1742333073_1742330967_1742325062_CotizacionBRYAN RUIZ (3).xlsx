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'1'!$A$1:$M$122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<sst xmlns="http://schemas.openxmlformats.org/spreadsheetml/2006/main" uniqueCount="137">
  <si>
    <t>PRO MUNDO COMEX S.A.C.</t>
  </si>
  <si>
    <t xml:space="preserve">         RUC: 20612452432</t>
  </si>
  <si>
    <t>COTIZACION N002</t>
  </si>
  <si>
    <t>NOMBRE:</t>
  </si>
  <si>
    <t>BRYAN RUIZ</t>
  </si>
  <si>
    <t>SERVICIO:</t>
  </si>
  <si>
    <t>CARGA CONSOLIDADA</t>
  </si>
  <si>
    <t>N° CAJAS:</t>
  </si>
  <si>
    <t>APELLIDO:</t>
  </si>
  <si>
    <t>FECHA:</t>
  </si>
  <si>
    <t>PESO:</t>
  </si>
  <si>
    <t>1.3704 Tn</t>
  </si>
  <si>
    <t>DNI/RUC:</t>
  </si>
  <si>
    <t>ORIGEN:</t>
  </si>
  <si>
    <t>CHINA</t>
  </si>
  <si>
    <t>MEDIDA:</t>
  </si>
  <si>
    <t>TELEFONO:</t>
  </si>
  <si>
    <t>929 610 511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</si>
  <si>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</si>
  <si>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</si>
  <si>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</si>
  <si>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</si>
  <si>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</si>
  <si>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</si>
  <si>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</si>
  <si>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</si>
  <si>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</si>
  <si>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</si>
  <si>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</si>
  <si>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</si>
  <si>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</si>
  <si>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BRYAN RUIZ 😁 un gusto saludarte!
        A continuación te envío la cotización final de tu importación📋📦.
        🙋‍♂️ PAGO PENDIENTE :
        ☑️Costo CBM: $356.4
        ☑️Impuestos: $3333.59
        ☑️ Total: $3689.99
        Pronto le aviso nuevos avances, que tengan buen día🚢
        Último día de pago:</t>
  </si>
  <si>
    <t>IGV</t>
  </si>
  <si>
    <t>IPM</t>
  </si>
  <si>
    <t>ANTIDUMPING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</si>
  <si>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</si>
  <si>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</si>
  <si>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</si>
  <si>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</si>
  <si>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</si>
  <si>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</si>
  <si>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</si>
  <si>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</si>
  <si>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</si>
  <si>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</si>
  <si>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</si>
  <si>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</si>
  <si>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</si>
  <si>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</si>
  <si>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</si>
  <si>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</si>
  <si>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CERRADURA DIGITAL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</si>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</sst>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tn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33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12" borderId="2" applyFont="1" applyNumberFormat="0" applyFill="1" applyBorder="1" applyAlignment="0">
      <alignment horizontal="general" vertical="bottom" textRotation="0" wrapText="false" shrinkToFit="false"/>
    </xf>
    <xf xfId="0" fontId="0" numFmtId="9" fillId="12" borderId="0" applyFont="0" applyNumberFormat="1" applyFill="1" applyBorder="0" applyAlignment="1">
      <alignment horizontal="center" vertical="bottom" textRotation="0" wrapText="false" shrinkToFit="false"/>
    </xf>
    <xf xfId="0" fontId="2" numFmtId="166" fillId="12" borderId="0" applyFont="1" applyNumberFormat="1" applyFill="1" applyBorder="0" applyAlignment="1">
      <alignment horizontal="center" vertical="bottom" textRotation="0" wrapText="false" shrinkToFit="false"/>
    </xf>
    <xf xfId="0" fontId="2" numFmtId="0" fillId="12" borderId="0" applyFont="1" applyNumberFormat="0" applyFill="1" applyBorder="0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67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103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9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101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100" t="s">
        <v>11</v>
      </c>
      <c r="K9" s="39"/>
      <c r="L9" s="39"/>
    </row>
    <row r="10" spans="1:14">
      <c r="B10" s="8" t="s">
        <v>12</v>
      </c>
      <c r="C10" s="16">
        <v>47976981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100"/>
      <c r="L10" s="63"/>
    </row>
    <row r="11" spans="1:14">
      <c r="B11" s="8" t="s">
        <v>16</v>
      </c>
      <c r="C11" s="17" t="s">
        <v>17</v>
      </c>
      <c r="D11" s="35"/>
      <c r="E11" s="24" t="s">
        <v>18</v>
      </c>
      <c r="F11" s="48" t="s">
        <v>19</v>
      </c>
      <c r="G11" s="65"/>
      <c r="H11" s="33"/>
      <c r="I11" s="1" t="s">
        <v>20</v>
      </c>
      <c r="J11" s="99" t="str">
        <f>'2'!AB7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21</v>
      </c>
      <c r="C13" s="66"/>
      <c r="D13" s="66"/>
      <c r="E13" s="66"/>
      <c r="F13" s="66"/>
      <c r="G13" s="66"/>
      <c r="H13" s="66"/>
      <c r="I13" s="66"/>
      <c r="J13" s="66"/>
      <c r="K13" s="10" t="s">
        <v>22</v>
      </c>
      <c r="L13" s="10" t="s">
        <v>23</v>
      </c>
    </row>
    <row r="14" spans="1:14">
      <c r="B14" s="67" t="s">
        <v>24</v>
      </c>
      <c r="C14" s="67"/>
      <c r="D14" s="67"/>
      <c r="E14" s="67"/>
      <c r="F14" s="67"/>
      <c r="G14" s="67"/>
      <c r="H14" s="67"/>
      <c r="I14" s="67"/>
      <c r="J14" s="67"/>
      <c r="K14" s="14" t="str">
        <f>'2'!AB11</f>
        <v>0</v>
      </c>
      <c r="L14" s="9" t="s">
        <v>25</v>
      </c>
    </row>
    <row r="15" spans="1:14">
      <c r="B15" s="68" t="s">
        <v>26</v>
      </c>
      <c r="C15" s="68"/>
      <c r="D15" s="68"/>
      <c r="E15" s="68"/>
      <c r="F15" s="68"/>
      <c r="G15" s="68"/>
      <c r="H15" s="68"/>
      <c r="I15" s="68"/>
      <c r="J15" s="68"/>
      <c r="K15" s="15" t="str">
        <f>'2'!AB14 + '2'!AB17</f>
        <v>0</v>
      </c>
      <c r="L15" s="12" t="s">
        <v>25</v>
      </c>
    </row>
    <row r="16" spans="1:14">
      <c r="B16" s="51" t="s">
        <v>27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25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28</v>
      </c>
      <c r="C19" s="69"/>
      <c r="D19" s="69"/>
      <c r="E19" s="69"/>
      <c r="F19" s="69"/>
      <c r="G19" s="18"/>
      <c r="H19" s="18"/>
      <c r="I19" s="18"/>
      <c r="J19" s="10" t="s">
        <v>29</v>
      </c>
      <c r="K19" s="10" t="s">
        <v>22</v>
      </c>
      <c r="L19" s="10" t="s">
        <v>23</v>
      </c>
    </row>
    <row r="20" spans="1:14">
      <c r="B20" s="49" t="s">
        <v>30</v>
      </c>
      <c r="C20" s="49"/>
      <c r="D20" s="49"/>
      <c r="E20" s="49"/>
      <c r="F20" s="49"/>
      <c r="G20" s="49"/>
      <c r="H20" s="49"/>
      <c r="I20" s="49"/>
      <c r="J20" s="20" t="str">
        <f>MAX('2'!C27:AA27)</f>
        <v>0</v>
      </c>
      <c r="K20" s="14" t="str">
        <f>'2'!AB28</f>
        <v>0</v>
      </c>
      <c r="L20" s="9" t="s">
        <v>25</v>
      </c>
      <c r="N20" t="s">
        <v>31</v>
      </c>
    </row>
    <row r="21" spans="1:14">
      <c r="B21" s="49" t="s">
        <v>32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'2'!AB29</f>
        <v>0</v>
      </c>
      <c r="L21" s="9" t="s">
        <v>25</v>
      </c>
    </row>
    <row r="22" spans="1:14">
      <c r="B22" s="48" t="s">
        <v>33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'2'!AB30</f>
        <v>0</v>
      </c>
      <c r="L22" s="9" t="s">
        <v>25</v>
      </c>
    </row>
    <row r="23" spans="1:14">
      <c r="B23" s="95" t="s">
        <v>34</v>
      </c>
      <c r="C23" s="95"/>
      <c r="D23" s="95"/>
      <c r="E23" s="95"/>
      <c r="F23" s="95"/>
      <c r="G23" s="95"/>
      <c r="H23" s="95"/>
      <c r="I23" s="95"/>
      <c r="J23" s="96"/>
      <c r="K23" s="97">
        <v>400</v>
      </c>
      <c r="L23" s="98"/>
    </row>
    <row r="24" spans="1:14">
      <c r="B24" s="51" t="s">
        <v>35</v>
      </c>
      <c r="C24" s="51"/>
      <c r="D24" s="51"/>
      <c r="E24" s="51"/>
      <c r="F24" s="51"/>
      <c r="G24" s="51"/>
      <c r="H24" s="51"/>
      <c r="I24" s="51"/>
      <c r="J24" s="29"/>
      <c r="K24" s="30" t="str">
        <f>SUM(K20:K23)</f>
        <v>0</v>
      </c>
      <c r="L24" s="29" t="s">
        <v>25</v>
      </c>
    </row>
    <row r="25" spans="1:14">
      <c r="B25" s="49"/>
      <c r="C25" s="49"/>
      <c r="D25" s="49"/>
      <c r="E25" s="49"/>
      <c r="F25" s="49"/>
      <c r="G25" s="49"/>
      <c r="H25" s="49"/>
      <c r="I25" s="49"/>
      <c r="J25" s="2"/>
      <c r="K25" s="11"/>
      <c r="L25" s="9"/>
    </row>
    <row r="26" spans="1:14">
      <c r="B26" s="48" t="s">
        <v>36</v>
      </c>
      <c r="C26" s="48"/>
      <c r="D26" s="48"/>
      <c r="E26" s="48"/>
      <c r="F26" s="48"/>
      <c r="G26" s="48"/>
      <c r="H26" s="48"/>
      <c r="I26" s="48"/>
      <c r="J26" s="21" t="s">
        <v>37</v>
      </c>
      <c r="K26" s="15" t="str">
        <f>'2'!AB31</f>
        <v>0</v>
      </c>
      <c r="L26" s="12" t="s">
        <v>25</v>
      </c>
    </row>
    <row r="27" spans="1:14">
      <c r="B27" s="51" t="s">
        <v>38</v>
      </c>
      <c r="C27" s="51"/>
      <c r="D27" s="51"/>
      <c r="E27" s="51"/>
      <c r="F27" s="51"/>
      <c r="G27" s="51"/>
      <c r="H27" s="51"/>
      <c r="I27" s="51"/>
      <c r="K27" s="14" t="str">
        <f>K24+K26</f>
        <v>0</v>
      </c>
      <c r="L27" s="9" t="s">
        <v>25</v>
      </c>
    </row>
    <row r="28" spans="1:14">
      <c r="B28" s="43"/>
      <c r="C28" s="43"/>
      <c r="D28" s="43"/>
      <c r="E28" s="43"/>
      <c r="F28" s="43"/>
      <c r="G28" s="43"/>
      <c r="H28" s="43"/>
      <c r="I28" s="43"/>
    </row>
    <row r="29" spans="1:14" customHeight="1" ht="15.6">
      <c r="B29" s="52" t="s">
        <v>39</v>
      </c>
      <c r="C29" s="52"/>
      <c r="D29" s="52"/>
      <c r="E29" s="52"/>
      <c r="F29" s="52"/>
      <c r="G29" s="52"/>
      <c r="H29" s="52"/>
      <c r="I29" s="52"/>
      <c r="J29" s="52"/>
      <c r="K29" s="28" t="s">
        <v>22</v>
      </c>
      <c r="L29" s="28" t="s">
        <v>23</v>
      </c>
    </row>
    <row r="30" spans="1:14">
      <c r="B30" s="49" t="s">
        <v>40</v>
      </c>
      <c r="C30" s="49"/>
      <c r="D30" s="49"/>
      <c r="E30" s="49"/>
      <c r="F30" s="49"/>
      <c r="G30" s="49"/>
      <c r="H30" s="49"/>
      <c r="I30" s="49"/>
      <c r="J30" s="49"/>
      <c r="K30" s="14" t="str">
        <f>K14</f>
        <v>0</v>
      </c>
      <c r="L30" s="9" t="s">
        <v>25</v>
      </c>
    </row>
    <row r="31" spans="1:14">
      <c r="B31" s="49" t="s">
        <v>41</v>
      </c>
      <c r="C31" s="49"/>
      <c r="D31" s="49"/>
      <c r="E31" s="49"/>
      <c r="F31" s="49"/>
      <c r="G31" s="49"/>
      <c r="H31" s="49"/>
      <c r="I31" s="49"/>
      <c r="J31" s="49"/>
      <c r="K31" s="14" t="str">
        <f>IF('2'!AF7&lt;1, '2'!AF7*J11, '2'!AF7*J11)</f>
        <v>0</v>
      </c>
      <c r="L31" s="9" t="s">
        <v>25</v>
      </c>
    </row>
    <row r="32" spans="1:14">
      <c r="B32" s="48" t="s">
        <v>42</v>
      </c>
      <c r="C32" s="48"/>
      <c r="D32" s="48"/>
      <c r="E32" s="48"/>
      <c r="F32" s="48"/>
      <c r="G32" s="48"/>
      <c r="H32" s="48"/>
      <c r="I32" s="48"/>
      <c r="J32" s="48"/>
      <c r="K32" s="15" t="str">
        <f>K27</f>
        <v>0</v>
      </c>
      <c r="L32" s="12" t="s">
        <v>25</v>
      </c>
    </row>
    <row r="33" spans="1:14">
      <c r="B33" s="51" t="s">
        <v>43</v>
      </c>
      <c r="C33" s="51"/>
      <c r="D33" s="51"/>
      <c r="E33" s="51"/>
      <c r="F33" s="51"/>
      <c r="G33" s="51"/>
      <c r="H33" s="51"/>
      <c r="I33" s="51"/>
      <c r="J33" s="51"/>
      <c r="K33" s="14" t="str">
        <f>SUM(K30:K32)</f>
        <v>0</v>
      </c>
      <c r="L33" s="9" t="s">
        <v>25</v>
      </c>
    </row>
    <row r="34" spans="1:1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1:14">
      <c r="B35" s="59" t="s">
        <v>44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4">
      <c r="B36" s="19" t="s">
        <v>45</v>
      </c>
      <c r="C36" s="56" t="s">
        <v>46</v>
      </c>
      <c r="D36" s="57"/>
      <c r="E36" s="58"/>
      <c r="F36" s="4" t="s">
        <v>47</v>
      </c>
      <c r="G36" s="56" t="s">
        <v>48</v>
      </c>
      <c r="H36" s="58"/>
      <c r="I36" s="3" t="s">
        <v>49</v>
      </c>
      <c r="J36" s="26" t="s">
        <v>38</v>
      </c>
      <c r="K36" s="47" t="s">
        <v>50</v>
      </c>
      <c r="L36" s="47"/>
    </row>
    <row r="37" spans="1:14">
      <c r="B37" s="5">
        <v>1</v>
      </c>
      <c r="C37" s="5" t="s">
        <v>51</v>
      </c>
      <c r="D37" s="5"/>
      <c r="E37" s="5"/>
      <c r="F37" s="5" t="str">
        <f>'2'!C10</f>
        <v>0</v>
      </c>
      <c r="G37" s="88" t="str">
        <f>'2'!C8</f>
        <v>0</v>
      </c>
      <c r="H37" s="6"/>
      <c r="I37" s="88" t="str">
        <f>'2'!C46</f>
        <v>0</v>
      </c>
      <c r="J37" s="88" t="str">
        <f>'2'!C44</f>
        <v>0</v>
      </c>
      <c r="K37" s="89" t="str">
        <f>'2'!C47</f>
        <v>0</v>
      </c>
      <c r="L37" s="47"/>
      <c r="M37" s="1"/>
    </row>
    <row r="38" spans="1:14">
      <c r="B38" s="5">
        <v>2</v>
      </c>
      <c r="C38" s="5" t="s">
        <v>52</v>
      </c>
      <c r="D38" s="5"/>
      <c r="E38" s="5"/>
      <c r="F38" s="5" t="str">
        <f>'2'!D10</f>
        <v>0</v>
      </c>
      <c r="G38" s="88" t="str">
        <f>'2'!D8</f>
        <v>0</v>
      </c>
      <c r="H38" s="6"/>
      <c r="I38" s="88" t="str">
        <f>'2'!D46</f>
        <v>0</v>
      </c>
      <c r="J38" s="88" t="str">
        <f>'2'!D44</f>
        <v>0</v>
      </c>
      <c r="K38" s="89" t="str">
        <f>'2'!D47</f>
        <v>0</v>
      </c>
      <c r="L38" s="47"/>
      <c r="M38" s="1"/>
    </row>
    <row r="39" spans="1:14">
      <c r="B39" s="5">
        <v>3</v>
      </c>
      <c r="C39" s="5" t="s">
        <v>53</v>
      </c>
      <c r="D39" s="5"/>
      <c r="E39" s="5"/>
      <c r="F39" s="5" t="str">
        <f>'2'!E10</f>
        <v>0</v>
      </c>
      <c r="G39" s="88" t="str">
        <f>'2'!E8</f>
        <v>0</v>
      </c>
      <c r="H39" s="6"/>
      <c r="I39" s="88" t="str">
        <f>'2'!E46</f>
        <v>0</v>
      </c>
      <c r="J39" s="88" t="str">
        <f>'2'!E44</f>
        <v>0</v>
      </c>
      <c r="K39" s="89" t="str">
        <f>'2'!E47</f>
        <v>0</v>
      </c>
      <c r="L39" s="47"/>
      <c r="M39" s="1"/>
    </row>
    <row r="40" spans="1:14" customHeight="1" ht="15.6">
      <c r="B40" s="5">
        <v>4</v>
      </c>
      <c r="C40" s="5" t="s">
        <v>54</v>
      </c>
      <c r="D40" s="5"/>
      <c r="E40" s="5"/>
      <c r="F40" s="5" t="str">
        <f>'2'!F10</f>
        <v>0</v>
      </c>
      <c r="G40" s="88" t="str">
        <f>'2'!F8</f>
        <v>0</v>
      </c>
      <c r="H40" s="5"/>
      <c r="I40" s="88" t="str">
        <f>'2'!F46</f>
        <v>0</v>
      </c>
      <c r="J40" s="88" t="str">
        <f>'2'!F44</f>
        <v>0</v>
      </c>
      <c r="K40" s="89" t="str">
        <f>'2'!F47</f>
        <v>0</v>
      </c>
      <c r="L40" s="90"/>
      <c r="M40" s="1"/>
    </row>
    <row r="41" spans="1:14" customHeight="1" ht="15.6">
      <c r="B41" s="5">
        <v>5</v>
      </c>
      <c r="C41" s="5" t="s">
        <v>55</v>
      </c>
      <c r="D41" s="5"/>
      <c r="E41" s="5"/>
      <c r="F41" s="5" t="str">
        <f>'2'!G10</f>
        <v>0</v>
      </c>
      <c r="G41" s="88" t="str">
        <f>'2'!G8</f>
        <v>0</v>
      </c>
      <c r="H41" s="5"/>
      <c r="I41" s="88" t="str">
        <f>'2'!G46</f>
        <v>0</v>
      </c>
      <c r="J41" s="88" t="str">
        <f>'2'!G44</f>
        <v>0</v>
      </c>
      <c r="K41" s="89" t="str">
        <f>'2'!G47</f>
        <v>0</v>
      </c>
      <c r="L41" s="90"/>
    </row>
    <row r="42" spans="1:14">
      <c r="B42" s="5">
        <v>6</v>
      </c>
      <c r="C42" s="5" t="s">
        <v>56</v>
      </c>
      <c r="D42" s="5"/>
      <c r="E42" s="5"/>
      <c r="F42" s="5" t="str">
        <f>'2'!H10</f>
        <v>0</v>
      </c>
      <c r="G42" s="88" t="str">
        <f>'2'!H8</f>
        <v>0</v>
      </c>
      <c r="H42" s="5"/>
      <c r="I42" s="88" t="str">
        <f>'2'!H46</f>
        <v>0</v>
      </c>
      <c r="J42" s="88" t="str">
        <f>'2'!H44</f>
        <v>0</v>
      </c>
      <c r="K42" s="89" t="str">
        <f>'2'!H47</f>
        <v>0</v>
      </c>
      <c r="L42" s="31"/>
    </row>
    <row r="43" spans="1:14" customHeight="1" ht="18">
      <c r="B43" s="91">
        <v>7</v>
      </c>
      <c r="C43" s="5" t="s">
        <v>57</v>
      </c>
      <c r="D43" s="5"/>
      <c r="E43" s="5"/>
      <c r="F43" s="5" t="str">
        <f>'2'!I10</f>
        <v>0</v>
      </c>
      <c r="G43" s="88" t="str">
        <f>'2'!I8</f>
        <v>0</v>
      </c>
      <c r="H43" s="5"/>
      <c r="I43" s="88" t="str">
        <f>'2'!I46</f>
        <v>0</v>
      </c>
      <c r="J43" s="88" t="str">
        <f>'2'!I44</f>
        <v>0</v>
      </c>
      <c r="K43" s="89" t="str">
        <f>'2'!I47</f>
        <v>0</v>
      </c>
      <c r="L43" s="3"/>
    </row>
    <row r="44" spans="1:14" customHeight="1" ht="18">
      <c r="B44" s="91">
        <v>8</v>
      </c>
      <c r="C44" s="5" t="s">
        <v>58</v>
      </c>
      <c r="D44" s="5"/>
      <c r="E44" s="5"/>
      <c r="F44" s="5" t="str">
        <f>'2'!J10</f>
        <v>0</v>
      </c>
      <c r="G44" s="88" t="str">
        <f>'2'!J8</f>
        <v>0</v>
      </c>
      <c r="H44" s="5"/>
      <c r="I44" s="88" t="str">
        <f>'2'!J46</f>
        <v>0</v>
      </c>
      <c r="J44" s="88" t="str">
        <f>'2'!J44</f>
        <v>0</v>
      </c>
      <c r="K44" s="89" t="str">
        <f>'2'!J47</f>
        <v>0</v>
      </c>
      <c r="L44" s="3"/>
    </row>
    <row r="45" spans="1:14" customHeight="1" ht="18">
      <c r="B45" s="91">
        <v>9</v>
      </c>
      <c r="C45" s="5" t="s">
        <v>59</v>
      </c>
      <c r="D45" s="5"/>
      <c r="E45" s="5"/>
      <c r="F45" s="5" t="str">
        <f>'2'!K10</f>
        <v>0</v>
      </c>
      <c r="G45" s="88" t="str">
        <f>'2'!K8</f>
        <v>0</v>
      </c>
      <c r="H45" s="5"/>
      <c r="I45" s="88" t="str">
        <f>'2'!K46</f>
        <v>0</v>
      </c>
      <c r="J45" s="88" t="str">
        <f>'2'!K44</f>
        <v>0</v>
      </c>
      <c r="K45" s="89" t="str">
        <f>'2'!K47</f>
        <v>0</v>
      </c>
      <c r="L45" s="3"/>
    </row>
    <row r="46" spans="1:14" customHeight="1" ht="18">
      <c r="B46" s="91">
        <v>10</v>
      </c>
      <c r="C46" s="5" t="s">
        <v>60</v>
      </c>
      <c r="D46" s="5"/>
      <c r="E46" s="5"/>
      <c r="F46" s="5" t="str">
        <f>'2'!L10</f>
        <v>0</v>
      </c>
      <c r="G46" s="88" t="str">
        <f>'2'!L8</f>
        <v>0</v>
      </c>
      <c r="H46" s="5"/>
      <c r="I46" s="88" t="str">
        <f>'2'!L46</f>
        <v>0</v>
      </c>
      <c r="J46" s="88" t="str">
        <f>'2'!L44</f>
        <v>0</v>
      </c>
      <c r="K46" s="89" t="str">
        <f>'2'!L47</f>
        <v>0</v>
      </c>
      <c r="L46" s="3"/>
    </row>
    <row r="47" spans="1:14" customHeight="1" ht="18">
      <c r="B47" s="91">
        <v>11</v>
      </c>
      <c r="C47" s="5" t="s">
        <v>61</v>
      </c>
      <c r="D47" s="5"/>
      <c r="E47" s="5"/>
      <c r="F47" s="5" t="str">
        <f>'2'!M10</f>
        <v>0</v>
      </c>
      <c r="G47" s="88" t="str">
        <f>'2'!M8</f>
        <v>0</v>
      </c>
      <c r="H47" s="5"/>
      <c r="I47" s="88" t="str">
        <f>'2'!M46</f>
        <v>0</v>
      </c>
      <c r="J47" s="88" t="str">
        <f>'2'!M44</f>
        <v>0</v>
      </c>
      <c r="K47" s="89" t="str">
        <f>'2'!M47</f>
        <v>0</v>
      </c>
      <c r="L47" s="3"/>
    </row>
    <row r="48" spans="1:14" customHeight="1" ht="18">
      <c r="B48" s="91">
        <v>12</v>
      </c>
      <c r="C48" s="5" t="s">
        <v>62</v>
      </c>
      <c r="D48" s="5"/>
      <c r="E48" s="5"/>
      <c r="F48" s="5" t="str">
        <f>'2'!N10</f>
        <v>0</v>
      </c>
      <c r="G48" s="88" t="str">
        <f>'2'!N8</f>
        <v>0</v>
      </c>
      <c r="H48" s="5"/>
      <c r="I48" s="88" t="str">
        <f>'2'!N46</f>
        <v>0</v>
      </c>
      <c r="J48" s="88" t="str">
        <f>'2'!N44</f>
        <v>0</v>
      </c>
      <c r="K48" s="89" t="str">
        <f>'2'!N47</f>
        <v>0</v>
      </c>
      <c r="L48" s="3"/>
    </row>
    <row r="49" spans="1:14" customHeight="1" ht="18">
      <c r="B49" s="91">
        <v>13</v>
      </c>
      <c r="C49" s="5" t="s">
        <v>63</v>
      </c>
      <c r="D49" s="5"/>
      <c r="E49" s="5"/>
      <c r="F49" s="5" t="str">
        <f>'2'!O10</f>
        <v>0</v>
      </c>
      <c r="G49" s="88" t="str">
        <f>'2'!O8</f>
        <v>0</v>
      </c>
      <c r="H49" s="5"/>
      <c r="I49" s="88" t="str">
        <f>'2'!O46</f>
        <v>0</v>
      </c>
      <c r="J49" s="88" t="str">
        <f>'2'!O44</f>
        <v>0</v>
      </c>
      <c r="K49" s="89" t="str">
        <f>'2'!O47</f>
        <v>0</v>
      </c>
      <c r="L49" s="3"/>
    </row>
    <row r="50" spans="1:14" customHeight="1" ht="18">
      <c r="B50" s="91">
        <v>14</v>
      </c>
      <c r="C50" s="5" t="s">
        <v>64</v>
      </c>
      <c r="D50" s="5"/>
      <c r="E50" s="5"/>
      <c r="F50" s="5" t="str">
        <f>'2'!P10</f>
        <v>0</v>
      </c>
      <c r="G50" s="88" t="str">
        <f>'2'!P8</f>
        <v>0</v>
      </c>
      <c r="H50" s="5"/>
      <c r="I50" s="88" t="str">
        <f>'2'!P46</f>
        <v>0</v>
      </c>
      <c r="J50" s="88" t="str">
        <f>'2'!P44</f>
        <v>0</v>
      </c>
      <c r="K50" s="89" t="str">
        <f>'2'!P47</f>
        <v>0</v>
      </c>
      <c r="L50" s="3"/>
    </row>
    <row r="51" spans="1:14" customHeight="1" ht="18">
      <c r="B51" s="91">
        <v>15</v>
      </c>
      <c r="C51" s="5" t="s">
        <v>65</v>
      </c>
      <c r="D51" s="5"/>
      <c r="E51" s="5"/>
      <c r="F51" s="5" t="str">
        <f>'2'!Q10</f>
        <v>0</v>
      </c>
      <c r="G51" s="88" t="str">
        <f>'2'!Q8</f>
        <v>0</v>
      </c>
      <c r="H51" s="5"/>
      <c r="I51" s="88" t="str">
        <f>'2'!Q46</f>
        <v>0</v>
      </c>
      <c r="J51" s="88" t="str">
        <f>'2'!Q44</f>
        <v>0</v>
      </c>
      <c r="K51" s="89" t="str">
        <f>'2'!Q47</f>
        <v>0</v>
      </c>
      <c r="L51" s="3"/>
    </row>
    <row r="52" spans="1:14" customHeight="1" ht="18">
      <c r="B52" s="91">
        <v>16</v>
      </c>
      <c r="C52" s="5" t="s">
        <v>66</v>
      </c>
      <c r="D52" s="5"/>
      <c r="E52" s="5"/>
      <c r="F52" s="5" t="str">
        <f>'2'!R10</f>
        <v>0</v>
      </c>
      <c r="G52" s="88" t="str">
        <f>'2'!R8</f>
        <v>0</v>
      </c>
      <c r="H52" s="5"/>
      <c r="I52" s="88" t="str">
        <f>'2'!R46</f>
        <v>0</v>
      </c>
      <c r="J52" s="88" t="str">
        <f>'2'!R44</f>
        <v>0</v>
      </c>
      <c r="K52" s="89" t="str">
        <f>'2'!R47</f>
        <v>0</v>
      </c>
      <c r="L52" s="3"/>
    </row>
    <row r="53" spans="1:14" customHeight="1" ht="18">
      <c r="B53" s="91">
        <v>17</v>
      </c>
      <c r="C53" s="5" t="s">
        <v>67</v>
      </c>
      <c r="D53" s="5"/>
      <c r="E53" s="5"/>
      <c r="F53" s="5" t="str">
        <f>'2'!S10</f>
        <v>0</v>
      </c>
      <c r="G53" s="88" t="str">
        <f>'2'!S8</f>
        <v>0</v>
      </c>
      <c r="H53" s="5"/>
      <c r="I53" s="88" t="str">
        <f>'2'!S46</f>
        <v>0</v>
      </c>
      <c r="J53" s="88" t="str">
        <f>'2'!S44</f>
        <v>0</v>
      </c>
      <c r="K53" s="89" t="str">
        <f>'2'!S47</f>
        <v>0</v>
      </c>
      <c r="L53" s="3"/>
    </row>
    <row r="54" spans="1:14" customHeight="1" ht="18">
      <c r="B54" s="91">
        <v>18</v>
      </c>
      <c r="C54" s="5" t="s">
        <v>68</v>
      </c>
      <c r="D54" s="5"/>
      <c r="E54" s="5"/>
      <c r="F54" s="5" t="str">
        <f>'2'!T10</f>
        <v>0</v>
      </c>
      <c r="G54" s="88" t="str">
        <f>'2'!T8</f>
        <v>0</v>
      </c>
      <c r="H54" s="5"/>
      <c r="I54" s="88" t="str">
        <f>'2'!T46</f>
        <v>0</v>
      </c>
      <c r="J54" s="88" t="str">
        <f>'2'!T44</f>
        <v>0</v>
      </c>
      <c r="K54" s="89" t="str">
        <f>'2'!T47</f>
        <v>0</v>
      </c>
      <c r="L54" s="3"/>
    </row>
    <row r="55" spans="1:14" customHeight="1" ht="18">
      <c r="B55" s="91">
        <v>19</v>
      </c>
      <c r="C55" s="5" t="s">
        <v>69</v>
      </c>
      <c r="D55" s="5"/>
      <c r="E55" s="5"/>
      <c r="F55" s="5" t="str">
        <f>'2'!U10</f>
        <v>0</v>
      </c>
      <c r="G55" s="88" t="str">
        <f>'2'!U8</f>
        <v>0</v>
      </c>
      <c r="H55" s="5"/>
      <c r="I55" s="88" t="str">
        <f>'2'!U46</f>
        <v>0</v>
      </c>
      <c r="J55" s="88" t="str">
        <f>'2'!U44</f>
        <v>0</v>
      </c>
      <c r="K55" s="89" t="str">
        <f>'2'!U47</f>
        <v>0</v>
      </c>
      <c r="L55" s="3"/>
    </row>
    <row r="56" spans="1:14" customHeight="1" ht="18">
      <c r="B56" s="91">
        <v>20</v>
      </c>
      <c r="C56" s="5" t="s">
        <v>70</v>
      </c>
      <c r="D56" s="5"/>
      <c r="E56" s="5"/>
      <c r="F56" s="5" t="str">
        <f>'2'!V10</f>
        <v>0</v>
      </c>
      <c r="G56" s="88" t="str">
        <f>'2'!V8</f>
        <v>0</v>
      </c>
      <c r="H56" s="5"/>
      <c r="I56" s="88" t="str">
        <f>'2'!V46</f>
        <v>0</v>
      </c>
      <c r="J56" s="88" t="str">
        <f>'2'!V44</f>
        <v>0</v>
      </c>
      <c r="K56" s="89" t="str">
        <f>'2'!V47</f>
        <v>0</v>
      </c>
      <c r="L56" s="3"/>
    </row>
    <row r="57" spans="1:14" customHeight="1" ht="18">
      <c r="B57" s="91">
        <v>21</v>
      </c>
      <c r="C57" s="5" t="s">
        <v>71</v>
      </c>
      <c r="D57" s="5"/>
      <c r="E57" s="5"/>
      <c r="F57" s="5" t="str">
        <f>'2'!W10</f>
        <v>0</v>
      </c>
      <c r="G57" s="88" t="str">
        <f>'2'!W8</f>
        <v>0</v>
      </c>
      <c r="H57" s="5"/>
      <c r="I57" s="88" t="str">
        <f>'2'!W46</f>
        <v>0</v>
      </c>
      <c r="J57" s="88" t="str">
        <f>'2'!W44</f>
        <v>0</v>
      </c>
      <c r="K57" s="89" t="str">
        <f>'2'!W47</f>
        <v>0</v>
      </c>
      <c r="L57" s="3"/>
    </row>
    <row r="58" spans="1:14" customHeight="1" ht="18">
      <c r="B58" s="91">
        <v>22</v>
      </c>
      <c r="C58" s="5" t="s">
        <v>72</v>
      </c>
      <c r="D58" s="5"/>
      <c r="E58" s="5"/>
      <c r="F58" s="5" t="str">
        <f>'2'!X10</f>
        <v>0</v>
      </c>
      <c r="G58" s="88" t="str">
        <f>'2'!X8</f>
        <v>0</v>
      </c>
      <c r="H58" s="5"/>
      <c r="I58" s="88" t="str">
        <f>'2'!X46</f>
        <v>0</v>
      </c>
      <c r="J58" s="88" t="str">
        <f>'2'!X44</f>
        <v>0</v>
      </c>
      <c r="K58" s="89" t="str">
        <f>'2'!X47</f>
        <v>0</v>
      </c>
      <c r="L58" s="3"/>
    </row>
    <row r="59" spans="1:14" customHeight="1" ht="18">
      <c r="B59" s="91">
        <v>23</v>
      </c>
      <c r="C59" s="5" t="s">
        <v>73</v>
      </c>
      <c r="D59" s="5"/>
      <c r="E59" s="5"/>
      <c r="F59" s="5" t="str">
        <f>'2'!Y10</f>
        <v>0</v>
      </c>
      <c r="G59" s="88" t="str">
        <f>'2'!Y8</f>
        <v>0</v>
      </c>
      <c r="H59" s="5"/>
      <c r="I59" s="88" t="str">
        <f>'2'!Y46</f>
        <v>0</v>
      </c>
      <c r="J59" s="88" t="str">
        <f>'2'!Y44</f>
        <v>0</v>
      </c>
      <c r="K59" s="89" t="str">
        <f>'2'!Y47</f>
        <v>0</v>
      </c>
      <c r="L59" s="3"/>
    </row>
    <row r="60" spans="1:14" customHeight="1" ht="18">
      <c r="B60" s="91">
        <v>24</v>
      </c>
      <c r="C60" s="5" t="s">
        <v>74</v>
      </c>
      <c r="D60" s="5"/>
      <c r="E60" s="5"/>
      <c r="F60" s="5" t="str">
        <f>'2'!Z10</f>
        <v>0</v>
      </c>
      <c r="G60" s="88" t="str">
        <f>'2'!Z8</f>
        <v>0</v>
      </c>
      <c r="H60" s="5"/>
      <c r="I60" s="88" t="str">
        <f>'2'!Z46</f>
        <v>0</v>
      </c>
      <c r="J60" s="88" t="str">
        <f>'2'!Z44</f>
        <v>0</v>
      </c>
      <c r="K60" s="89" t="str">
        <f>'2'!Z47</f>
        <v>0</v>
      </c>
      <c r="L60" s="3"/>
    </row>
    <row r="61" spans="1:14" customHeight="1" ht="18">
      <c r="B61" s="91">
        <v>25</v>
      </c>
      <c r="C61" s="5" t="s">
        <v>75</v>
      </c>
      <c r="D61" s="5"/>
      <c r="E61" s="5"/>
      <c r="F61" s="5" t="str">
        <f>'2'!AA10</f>
        <v>0</v>
      </c>
      <c r="G61" s="88" t="str">
        <f>'2'!AA8</f>
        <v>0</v>
      </c>
      <c r="H61" s="5"/>
      <c r="I61" s="88" t="str">
        <f>'2'!AA46</f>
        <v>0</v>
      </c>
      <c r="J61" s="88" t="str">
        <f>'2'!AA44</f>
        <v>0</v>
      </c>
      <c r="K61" s="89" t="str">
        <f>'2'!AA47</f>
        <v>0</v>
      </c>
      <c r="L61" s="3"/>
    </row>
    <row r="62" spans="1:14" customHeight="1" ht="18">
      <c r="B62" s="93" t="s">
        <v>38</v>
      </c>
      <c r="C62" s="92"/>
      <c r="D62" s="92"/>
      <c r="E62" s="92"/>
      <c r="F62" s="93" t="str">
        <f>SUM(F37:F61)</f>
        <v>0</v>
      </c>
      <c r="G62" s="64"/>
      <c r="H62" s="64"/>
      <c r="I62" s="64"/>
      <c r="J62" s="94" t="str">
        <f>SUM(J37:J61)</f>
        <v>0</v>
      </c>
      <c r="K62" s="64"/>
      <c r="L62" s="64"/>
    </row>
    <row r="63" spans="1:14" customHeight="1" ht="18">
      <c r="B63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4" customHeight="1" ht="18">
      <c r="B64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4" customHeight="1" ht="18">
      <c r="B65" s="64" t="s">
        <v>78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1:14" customHeight="1" ht="18">
      <c r="B6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4" customHeight="1" ht="9">
      <c r="B68" s="38"/>
      <c r="C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4" customHeight="1" ht="31.8">
      <c r="B69" s="38"/>
      <c r="C69" s="38"/>
      <c r="D69" s="37" t="s">
        <v>0</v>
      </c>
      <c r="E69" s="37"/>
      <c r="F69" s="37"/>
      <c r="G69" s="37"/>
      <c r="H69" s="37"/>
      <c r="I69" s="37"/>
      <c r="J69" s="37"/>
      <c r="K69" s="37"/>
      <c r="L69" s="37"/>
      <c r="M69" s="37"/>
    </row>
    <row r="70" spans="1:14" customHeight="1" ht="21">
      <c r="B70" s="38"/>
      <c r="C70" s="38"/>
      <c r="D70" s="53" t="s">
        <v>80</v>
      </c>
      <c r="E70" s="53"/>
      <c r="F70" s="53"/>
      <c r="G70" s="53"/>
      <c r="H70" s="53"/>
      <c r="I70" s="53"/>
    </row>
    <row r="71" spans="1:14">
      <c r="B71" s="38"/>
      <c r="C71" s="38"/>
    </row>
    <row r="72" spans="1:14">
      <c r="B72" s="38"/>
      <c r="C72" s="38"/>
    </row>
    <row r="73" spans="1:14" customHeight="1" ht="21">
      <c r="B73" s="70" t="s">
        <v>81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5" spans="1:14">
      <c r="B75" s="71" t="s">
        <v>82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1" t="s">
        <v>83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49" t="s">
        <v>84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1:14">
      <c r="B78" s="71" t="s">
        <v>85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86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49" t="s">
        <v>87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4">
      <c r="B81" s="71" t="s">
        <v>88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89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90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s">
        <v>91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B85" s="71" t="s">
        <v>92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4">
      <c r="B86" s="71" t="s">
        <v>93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B87" s="71" t="s">
        <v>94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4">
      <c r="B88" s="71" t="s">
        <v>95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4">
      <c r="B89" s="71" t="s">
        <v>96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4">
      <c r="B90" s="71" t="s">
        <v>97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4">
      <c r="B91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4">
      <c r="B92" s="67" t="s">
        <v>99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spans="1:14">
      <c r="B93" s="71" t="s">
        <v>100</v>
      </c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4">
      <c r="B94" s="67" t="s">
        <v>101</v>
      </c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spans="1:14">
      <c r="B95" s="71" t="s">
        <v>102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4">
      <c r="B96" s="71" t="s">
        <v>103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4">
      <c r="B97" s="71" t="s">
        <v>104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4">
      <c r="B98" s="71" t="s">
        <v>105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4">
      <c r="B99" s="71" t="s">
        <v>106</v>
      </c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4">
      <c r="A100" s="32"/>
      <c r="B100" s="72" t="s">
        <v>107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1:14">
      <c r="A101" s="32"/>
      <c r="B101" s="71" t="s">
        <v>108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4">
      <c r="A102" s="32"/>
      <c r="B102" s="72" t="s">
        <v>109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</row>
    <row r="104" spans="1:14">
      <c r="C104" s="38"/>
      <c r="D104" s="38"/>
      <c r="E104" s="38"/>
      <c r="F104" s="38"/>
      <c r="G104" s="38"/>
      <c r="H104" s="38"/>
      <c r="I104" s="38"/>
    </row>
    <row r="105" spans="1:14">
      <c r="C105" s="38"/>
      <c r="D105" s="38"/>
      <c r="E105" s="38"/>
      <c r="F105" s="38"/>
      <c r="G105" s="38"/>
      <c r="H105" s="38"/>
      <c r="I105" s="38"/>
    </row>
    <row r="106" spans="1:14">
      <c r="C106" s="38"/>
      <c r="D106" s="38"/>
      <c r="E106" s="38"/>
      <c r="F106" s="38"/>
      <c r="G106" s="38"/>
      <c r="H106" s="38"/>
      <c r="I106" s="38"/>
    </row>
    <row r="107" spans="1:14">
      <c r="C107" s="38"/>
      <c r="D107" s="38"/>
      <c r="E107" s="38"/>
      <c r="F107" s="38"/>
      <c r="G107" s="38"/>
      <c r="H107" s="38"/>
      <c r="I107" s="38"/>
    </row>
    <row r="108" spans="1:14">
      <c r="C108" s="38"/>
      <c r="D108" s="38"/>
      <c r="E108" s="38"/>
      <c r="F108" s="38"/>
      <c r="G108" s="38"/>
      <c r="H108" s="38"/>
      <c r="I108" s="38"/>
    </row>
    <row r="109" spans="1:14">
      <c r="C109" s="38"/>
      <c r="D109" s="38"/>
      <c r="E109" s="38"/>
      <c r="F109" s="38"/>
      <c r="G109" s="38"/>
      <c r="H109" s="38"/>
      <c r="I109" s="38"/>
    </row>
    <row r="110" spans="1:14">
      <c r="C110" s="38"/>
      <c r="D110" s="38"/>
      <c r="E110" s="38"/>
      <c r="F110" s="38"/>
      <c r="G110" s="38"/>
      <c r="H110" s="38"/>
      <c r="I110" s="38"/>
    </row>
    <row r="111" spans="1:14" customHeight="1" ht="15.6">
      <c r="C111" s="38"/>
      <c r="D111" s="38"/>
      <c r="E111" s="38"/>
      <c r="F111" s="38"/>
      <c r="G111" s="38"/>
      <c r="H111" s="38"/>
      <c r="I111" s="38"/>
    </row>
    <row r="112" spans="1:14" customHeight="1" ht="15.6">
      <c r="C112" s="38"/>
      <c r="D112" s="38"/>
      <c r="E112" s="38"/>
      <c r="F112" s="38"/>
      <c r="G112" s="38"/>
      <c r="H112" s="38"/>
      <c r="I112" s="38"/>
    </row>
    <row r="113" spans="1:14">
      <c r="C113" s="38"/>
      <c r="D113" s="38"/>
      <c r="E113" s="38"/>
      <c r="F113" s="38"/>
      <c r="G113" s="38"/>
      <c r="H113" s="38"/>
      <c r="I113" s="38"/>
    </row>
    <row r="119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92:L92"/>
    <mergeCell ref="B93:L93"/>
    <mergeCell ref="A7:C7"/>
    <mergeCell ref="I7:L7"/>
    <mergeCell ref="B77:L77"/>
    <mergeCell ref="B66:L66"/>
    <mergeCell ref="C39:E39"/>
    <mergeCell ref="K39:L39"/>
    <mergeCell ref="B75:L75"/>
    <mergeCell ref="B88:L88"/>
    <mergeCell ref="B76:L76"/>
    <mergeCell ref="G38:H38"/>
    <mergeCell ref="J11:L11"/>
    <mergeCell ref="B102:L102"/>
    <mergeCell ref="B85:L85"/>
    <mergeCell ref="B86:L86"/>
    <mergeCell ref="B87:L87"/>
    <mergeCell ref="B78:L78"/>
    <mergeCell ref="B79:L79"/>
    <mergeCell ref="B80:L80"/>
    <mergeCell ref="B81:L81"/>
    <mergeCell ref="B82:L82"/>
    <mergeCell ref="B83:L83"/>
    <mergeCell ref="B84:L84"/>
    <mergeCell ref="B89:L89"/>
    <mergeCell ref="B90:L90"/>
    <mergeCell ref="B91:L91"/>
    <mergeCell ref="B101:L101"/>
    <mergeCell ref="B100:L100"/>
    <mergeCell ref="B99:L99"/>
    <mergeCell ref="B94:L94"/>
    <mergeCell ref="B95:L95"/>
    <mergeCell ref="B96:L96"/>
    <mergeCell ref="B97:L97"/>
    <mergeCell ref="B98:L98"/>
    <mergeCell ref="B68:C72"/>
    <mergeCell ref="B19:F19"/>
    <mergeCell ref="C36:E36"/>
    <mergeCell ref="B73:L73"/>
    <mergeCell ref="B64:L64"/>
    <mergeCell ref="G39:H39"/>
    <mergeCell ref="K38:L38"/>
    <mergeCell ref="C38:E38"/>
    <mergeCell ref="B28:I28"/>
    <mergeCell ref="B24:I24"/>
    <mergeCell ref="B20:I20"/>
    <mergeCell ref="B21:I21"/>
    <mergeCell ref="B22:I22"/>
    <mergeCell ref="D69:J69"/>
    <mergeCell ref="B32:J32"/>
    <mergeCell ref="B27:I27"/>
    <mergeCell ref="B12:L12"/>
    <mergeCell ref="B13:J13"/>
    <mergeCell ref="B14:J14"/>
    <mergeCell ref="B16:J16"/>
    <mergeCell ref="B15:J15"/>
    <mergeCell ref="C104:I113"/>
    <mergeCell ref="A1:L1"/>
    <mergeCell ref="E2:L2"/>
    <mergeCell ref="D70:I70"/>
    <mergeCell ref="E3:J3"/>
    <mergeCell ref="E4:J4"/>
    <mergeCell ref="K37:L37"/>
    <mergeCell ref="C37:E37"/>
    <mergeCell ref="G37:H37"/>
    <mergeCell ref="G36:H36"/>
    <mergeCell ref="B35:L35"/>
    <mergeCell ref="J8:L8"/>
    <mergeCell ref="J10:L10"/>
    <mergeCell ref="B65:L65"/>
    <mergeCell ref="B63:L63"/>
    <mergeCell ref="F11:G11"/>
    <mergeCell ref="K69:M69"/>
    <mergeCell ref="E68:M68"/>
    <mergeCell ref="J9:L9"/>
    <mergeCell ref="B2:C6"/>
    <mergeCell ref="E7:G7"/>
    <mergeCell ref="F9:G9"/>
    <mergeCell ref="F10:G10"/>
    <mergeCell ref="F8:G8"/>
    <mergeCell ref="K36:L36"/>
    <mergeCell ref="B26:I26"/>
    <mergeCell ref="B25:I25"/>
    <mergeCell ref="B34:L34"/>
    <mergeCell ref="B33:J33"/>
    <mergeCell ref="B29:J29"/>
    <mergeCell ref="B30:J30"/>
    <mergeCell ref="B31:J31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51:E51"/>
    <mergeCell ref="G51:H51"/>
    <mergeCell ref="K51:L51"/>
    <mergeCell ref="C52:E52"/>
    <mergeCell ref="G52:H52"/>
    <mergeCell ref="K52:L52"/>
    <mergeCell ref="C53:E53"/>
    <mergeCell ref="G53:H53"/>
    <mergeCell ref="K53:L53"/>
    <mergeCell ref="C54:E54"/>
    <mergeCell ref="G54:H54"/>
    <mergeCell ref="K54:L54"/>
    <mergeCell ref="C55:E55"/>
    <mergeCell ref="G55:H55"/>
    <mergeCell ref="K55:L55"/>
    <mergeCell ref="C56:E56"/>
    <mergeCell ref="G56:H56"/>
    <mergeCell ref="K56:L56"/>
    <mergeCell ref="C57:E57"/>
    <mergeCell ref="G57:H57"/>
    <mergeCell ref="K57:L57"/>
    <mergeCell ref="C58:E58"/>
    <mergeCell ref="G58:H58"/>
    <mergeCell ref="K58:L58"/>
    <mergeCell ref="C59:E59"/>
    <mergeCell ref="G59:H59"/>
    <mergeCell ref="K59:L59"/>
    <mergeCell ref="C60:E60"/>
    <mergeCell ref="G60:H60"/>
    <mergeCell ref="K60:L60"/>
    <mergeCell ref="C61:E61"/>
    <mergeCell ref="G61:H61"/>
    <mergeCell ref="K61:L61"/>
    <mergeCell ref="B62:E62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7"/>
  <sheetViews>
    <sheetView tabSelected="0" workbookViewId="0" showGridLines="true" showRowColHeaders="1">
      <selection activeCell="AB44" sqref="AB44"/>
    </sheetView>
  </sheetViews>
  <sheetFormatPr defaultRowHeight="14.4" outlineLevelRow="0" outlineLevelCol="0"/>
  <cols>
    <col min="2" max="2" width="24.708252" bestFit="true" customWidth="true" style="0"/>
    <col min="3" max="3" width="21.137695" bestFit="true" customWidth="true" style="0"/>
    <col min="4" max="4" width="19.995117" bestFit="true" customWidth="true" style="0"/>
    <col min="5" max="5" width="19.995117" bestFit="true" customWidth="true" style="0"/>
    <col min="6" max="6" width="21.137695" bestFit="true" customWidth="true" style="0"/>
    <col min="7" max="7" width="23.422852" bestFit="true" customWidth="true" style="0"/>
    <col min="8" max="8" width="34.134521" bestFit="true" customWidth="true" style="0"/>
    <col min="9" max="9" width="18.709717" bestFit="true" customWidth="true" style="0"/>
    <col min="10" max="10" width="38.847656" bestFit="true" customWidth="true" style="0"/>
    <col min="11" max="11" width="16.424561" bestFit="true" customWidth="true" style="0"/>
    <col min="12" max="12" width="45.845947" bestFit="true" customWidth="true" style="0"/>
    <col min="13" max="13" width="38.847656" bestFit="true" customWidth="true" style="0"/>
    <col min="14" max="14" width="39.990234" bestFit="true" customWidth="true" style="0"/>
    <col min="15" max="15" width="41.132813" bestFit="true" customWidth="true" style="0"/>
    <col min="16" max="16" width="43.560791" bestFit="true" customWidth="true" style="0"/>
    <col min="17" max="17" width="48.273926" bestFit="true" customWidth="true" style="0"/>
    <col min="18" max="18" width="43.560791" bestFit="true" customWidth="true" style="0"/>
    <col min="19" max="19" width="50.559082" bestFit="true" customWidth="true" style="0"/>
    <col min="20" max="20" width="42.418213" bestFit="true" customWidth="true" style="0"/>
    <col min="21" max="21" width="35.2771" bestFit="true" customWidth="true" style="0"/>
    <col min="22" max="22" width="36.419678" bestFit="true" customWidth="true" style="0"/>
    <col min="23" max="23" width="38.847656" bestFit="true" customWidth="true" style="0"/>
    <col min="24" max="24" width="34.134521" bestFit="true" customWidth="true" style="0"/>
    <col min="25" max="25" width="54.129639" bestFit="true" customWidth="true" style="0"/>
    <col min="26" max="26" width="54.129639" bestFit="true" customWidth="true" style="0"/>
    <col min="27" max="27" width="37.705078" bestFit="true" customWidth="true" style="0"/>
    <col min="28" max="28" width="13.996582" bestFit="true" customWidth="true" style="0"/>
  </cols>
  <sheetData>
    <row r="3" spans="1:32">
      <c r="B3" s="75" t="s">
        <v>110</v>
      </c>
      <c r="C3" s="74"/>
      <c r="D3" s="74"/>
      <c r="E3" s="74"/>
      <c r="F3" s="74"/>
      <c r="G3" s="74"/>
    </row>
    <row r="5" spans="1:32">
      <c r="B5" s="78" t="s">
        <v>111</v>
      </c>
      <c r="C5" s="80" t="s">
        <v>51</v>
      </c>
      <c r="D5" s="80" t="s">
        <v>52</v>
      </c>
      <c r="E5" s="80" t="s">
        <v>53</v>
      </c>
      <c r="F5" s="80" t="s">
        <v>54</v>
      </c>
      <c r="G5" s="80" t="s">
        <v>55</v>
      </c>
      <c r="H5" s="80" t="s">
        <v>56</v>
      </c>
      <c r="I5" s="80" t="s">
        <v>57</v>
      </c>
      <c r="J5" s="80" t="s">
        <v>58</v>
      </c>
      <c r="K5" s="80" t="s">
        <v>59</v>
      </c>
      <c r="L5" s="80" t="s">
        <v>60</v>
      </c>
      <c r="M5" s="80" t="s">
        <v>61</v>
      </c>
      <c r="N5" s="80" t="s">
        <v>62</v>
      </c>
      <c r="O5" s="80" t="s">
        <v>63</v>
      </c>
      <c r="P5" s="80" t="s">
        <v>64</v>
      </c>
      <c r="Q5" s="80" t="s">
        <v>65</v>
      </c>
      <c r="R5" s="80" t="s">
        <v>66</v>
      </c>
      <c r="S5" s="80" t="s">
        <v>67</v>
      </c>
      <c r="T5" s="80" t="s">
        <v>68</v>
      </c>
      <c r="U5" s="80" t="s">
        <v>69</v>
      </c>
      <c r="V5" s="80" t="s">
        <v>70</v>
      </c>
      <c r="W5" s="80" t="s">
        <v>71</v>
      </c>
      <c r="X5" s="80" t="s">
        <v>72</v>
      </c>
      <c r="Y5" s="80" t="s">
        <v>73</v>
      </c>
      <c r="Z5" s="80" t="s">
        <v>74</v>
      </c>
      <c r="AA5" s="80" t="s">
        <v>75</v>
      </c>
      <c r="AB5" s="80" t="s">
        <v>112</v>
      </c>
    </row>
    <row r="6" spans="1:32">
      <c r="B6" s="74" t="s">
        <v>113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82">
        <v>1.37</v>
      </c>
      <c r="AE6" s="76" t="s">
        <v>114</v>
      </c>
      <c r="AF6" s="76" t="s">
        <v>115</v>
      </c>
    </row>
    <row r="7" spans="1:32">
      <c r="B7" s="74" t="s">
        <v>116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83">
        <v>2</v>
      </c>
      <c r="AE7" s="77" t="s">
        <v>19</v>
      </c>
      <c r="AF7" s="77">
        <v>300</v>
      </c>
    </row>
    <row r="8" spans="1:32">
      <c r="B8" s="74" t="s">
        <v>117</v>
      </c>
      <c r="C8" s="81">
        <v>16.392307692308</v>
      </c>
      <c r="D8" s="81">
        <v>31.333333333333</v>
      </c>
      <c r="E8" s="81">
        <v>26.18</v>
      </c>
      <c r="F8" s="81">
        <v>1.59</v>
      </c>
      <c r="G8" s="81">
        <v>0.88</v>
      </c>
      <c r="H8" s="81">
        <v>4.24625</v>
      </c>
      <c r="I8" s="81">
        <v>3.3841666666667</v>
      </c>
      <c r="J8" s="81">
        <v>39.9</v>
      </c>
      <c r="K8" s="81">
        <v>0.9</v>
      </c>
      <c r="L8" s="81">
        <v>110</v>
      </c>
      <c r="M8" s="81">
        <v>3.2</v>
      </c>
      <c r="N8" s="81">
        <v>2.125</v>
      </c>
      <c r="O8" s="81">
        <v>3.4</v>
      </c>
      <c r="P8" s="81">
        <v>380</v>
      </c>
      <c r="Q8" s="81">
        <v>295</v>
      </c>
      <c r="R8" s="81">
        <v>125</v>
      </c>
      <c r="S8" s="81">
        <v>8.6</v>
      </c>
      <c r="T8" s="81">
        <v>1.885</v>
      </c>
      <c r="U8" s="81">
        <v>7.1</v>
      </c>
      <c r="V8" s="81">
        <v>4.4</v>
      </c>
      <c r="W8" s="81">
        <v>5.8</v>
      </c>
      <c r="X8" s="81">
        <v>10</v>
      </c>
      <c r="Y8" s="81">
        <v>4.19</v>
      </c>
      <c r="Z8" s="81">
        <v>1.9025</v>
      </c>
      <c r="AA8" s="81">
        <v>0.62333333333333</v>
      </c>
      <c r="AB8" s="74"/>
    </row>
    <row r="9" spans="1:32">
      <c r="B9" s="79" t="s">
        <v>118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74"/>
    </row>
    <row r="10" spans="1:32">
      <c r="B10" s="74" t="s">
        <v>119</v>
      </c>
      <c r="C10" s="74">
        <v>65</v>
      </c>
      <c r="D10" s="74">
        <v>6</v>
      </c>
      <c r="E10" s="74">
        <v>1</v>
      </c>
      <c r="F10" s="74">
        <v>200</v>
      </c>
      <c r="G10" s="74">
        <v>200</v>
      </c>
      <c r="H10" s="74">
        <v>400</v>
      </c>
      <c r="I10" s="74">
        <v>240</v>
      </c>
      <c r="J10" s="74">
        <v>30</v>
      </c>
      <c r="K10" s="74">
        <v>300</v>
      </c>
      <c r="L10" s="74">
        <v>6</v>
      </c>
      <c r="M10" s="74">
        <v>60</v>
      </c>
      <c r="N10" s="74">
        <v>120</v>
      </c>
      <c r="O10" s="74">
        <v>90</v>
      </c>
      <c r="P10" s="74">
        <v>4</v>
      </c>
      <c r="Q10" s="74">
        <v>2</v>
      </c>
      <c r="R10" s="74">
        <v>6</v>
      </c>
      <c r="S10" s="74">
        <v>36</v>
      </c>
      <c r="T10" s="74">
        <v>700</v>
      </c>
      <c r="U10" s="74">
        <v>4</v>
      </c>
      <c r="V10" s="74">
        <v>10</v>
      </c>
      <c r="W10" s="74">
        <v>20</v>
      </c>
      <c r="X10" s="74">
        <v>9</v>
      </c>
      <c r="Y10" s="74">
        <v>80</v>
      </c>
      <c r="Z10" s="74">
        <v>320</v>
      </c>
      <c r="AA10" s="74">
        <v>240</v>
      </c>
      <c r="AB10" s="74" t="str">
        <f>SUM(C10:AA10)</f>
        <v>0</v>
      </c>
    </row>
    <row r="11" spans="1:32">
      <c r="B11" s="74" t="s">
        <v>120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1" t="str">
        <f>N8*N10</f>
        <v>0</v>
      </c>
      <c r="O11" s="81" t="str">
        <f>O8*O10</f>
        <v>0</v>
      </c>
      <c r="P11" s="81" t="str">
        <f>P8*P10</f>
        <v>0</v>
      </c>
      <c r="Q11" s="81" t="str">
        <f>Q8*Q10</f>
        <v>0</v>
      </c>
      <c r="R11" s="81" t="str">
        <f>R8*R10</f>
        <v>0</v>
      </c>
      <c r="S11" s="81" t="str">
        <f>S8*S10</f>
        <v>0</v>
      </c>
      <c r="T11" s="81" t="str">
        <f>T8*T10</f>
        <v>0</v>
      </c>
      <c r="U11" s="81" t="str">
        <f>U8*U10</f>
        <v>0</v>
      </c>
      <c r="V11" s="81" t="str">
        <f>V8*V10</f>
        <v>0</v>
      </c>
      <c r="W11" s="81" t="str">
        <f>W8*W10</f>
        <v>0</v>
      </c>
      <c r="X11" s="81" t="str">
        <f>X8*X10</f>
        <v>0</v>
      </c>
      <c r="Y11" s="81" t="str">
        <f>Y8*Y10</f>
        <v>0</v>
      </c>
      <c r="Z11" s="81" t="str">
        <f>Z8*Z10</f>
        <v>0</v>
      </c>
      <c r="AA11" s="81" t="str">
        <f>AA8*AA10</f>
        <v>0</v>
      </c>
      <c r="AB11" s="86" t="str">
        <f>SUM(C11:AA11)</f>
        <v>0</v>
      </c>
    </row>
    <row r="12" spans="1:32">
      <c r="B12" s="79" t="s">
        <v>121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1" t="str">
        <f>N10*N9</f>
        <v>0</v>
      </c>
      <c r="O12" s="81" t="str">
        <f>O10*O9</f>
        <v>0</v>
      </c>
      <c r="P12" s="81" t="str">
        <f>P10*P9</f>
        <v>0</v>
      </c>
      <c r="Q12" s="81" t="str">
        <f>Q10*Q9</f>
        <v>0</v>
      </c>
      <c r="R12" s="81" t="str">
        <f>R10*R9</f>
        <v>0</v>
      </c>
      <c r="S12" s="81" t="str">
        <f>S10*S9</f>
        <v>0</v>
      </c>
      <c r="T12" s="81" t="str">
        <f>T10*T9</f>
        <v>0</v>
      </c>
      <c r="U12" s="81" t="str">
        <f>U10*U9</f>
        <v>0</v>
      </c>
      <c r="V12" s="81" t="str">
        <f>V10*V9</f>
        <v>0</v>
      </c>
      <c r="W12" s="81" t="str">
        <f>W10*W9</f>
        <v>0</v>
      </c>
      <c r="X12" s="81" t="str">
        <f>X10*X9</f>
        <v>0</v>
      </c>
      <c r="Y12" s="81" t="str">
        <f>Y10*Y9</f>
        <v>0</v>
      </c>
      <c r="Z12" s="81" t="str">
        <f>Z10*Z9</f>
        <v>0</v>
      </c>
      <c r="AA12" s="81" t="str">
        <f>AA10*AA9</f>
        <v>0</v>
      </c>
      <c r="AB12" s="86" t="str">
        <f>SUM(C12:AA12)</f>
        <v>0</v>
      </c>
    </row>
    <row r="13" spans="1:32">
      <c r="B13" s="74" t="s">
        <v>122</v>
      </c>
      <c r="C13" s="84" t="str">
        <f>C11/AB11</f>
        <v>0</v>
      </c>
      <c r="D13" s="84" t="str">
        <f>D11/AB11</f>
        <v>0</v>
      </c>
      <c r="E13" s="84" t="str">
        <f>E11/AB11</f>
        <v>0</v>
      </c>
      <c r="F13" s="84" t="str">
        <f>F11/AB11</f>
        <v>0</v>
      </c>
      <c r="G13" s="84" t="str">
        <f>G11/AB11</f>
        <v>0</v>
      </c>
      <c r="H13" s="84" t="str">
        <f>H11/AB11</f>
        <v>0</v>
      </c>
      <c r="I13" s="84" t="str">
        <f>I11/AB11</f>
        <v>0</v>
      </c>
      <c r="J13" s="84" t="str">
        <f>J11/AB11</f>
        <v>0</v>
      </c>
      <c r="K13" s="84" t="str">
        <f>K11/AB11</f>
        <v>0</v>
      </c>
      <c r="L13" s="84" t="str">
        <f>L11/AB11</f>
        <v>0</v>
      </c>
      <c r="M13" s="84" t="str">
        <f>M11/AB11</f>
        <v>0</v>
      </c>
      <c r="N13" s="84" t="str">
        <f>N11/AB11</f>
        <v>0</v>
      </c>
      <c r="O13" s="84" t="str">
        <f>O11/AB11</f>
        <v>0</v>
      </c>
      <c r="P13" s="84" t="str">
        <f>P11/AB11</f>
        <v>0</v>
      </c>
      <c r="Q13" s="84" t="str">
        <f>Q11/AB11</f>
        <v>0</v>
      </c>
      <c r="R13" s="84" t="str">
        <f>R11/AB11</f>
        <v>0</v>
      </c>
      <c r="S13" s="84" t="str">
        <f>S11/AB11</f>
        <v>0</v>
      </c>
      <c r="T13" s="84" t="str">
        <f>T11/AB11</f>
        <v>0</v>
      </c>
      <c r="U13" s="84" t="str">
        <f>U11/AB11</f>
        <v>0</v>
      </c>
      <c r="V13" s="84" t="str">
        <f>V11/AB11</f>
        <v>0</v>
      </c>
      <c r="W13" s="84" t="str">
        <f>W11/AB11</f>
        <v>0</v>
      </c>
      <c r="X13" s="84" t="str">
        <f>X11/AB11</f>
        <v>0</v>
      </c>
      <c r="Y13" s="84" t="str">
        <f>Y11/AB11</f>
        <v>0</v>
      </c>
      <c r="Z13" s="84" t="str">
        <f>Z11/AB11</f>
        <v>0</v>
      </c>
      <c r="AA13" s="84" t="str">
        <f>AA11/AB11</f>
        <v>0</v>
      </c>
      <c r="AB13" s="74"/>
    </row>
    <row r="14" spans="1:32">
      <c r="B14" s="74" t="s">
        <v>123</v>
      </c>
      <c r="C14" s="81" t="str">
        <f>ROUNDUP(AB14*C13,2)</f>
        <v>0</v>
      </c>
      <c r="D14" s="81" t="str">
        <f>ROUNDUP(AB14*D13,2)</f>
        <v>0</v>
      </c>
      <c r="E14" s="81" t="str">
        <f>ROUNDUP(AB14*E13,2)</f>
        <v>0</v>
      </c>
      <c r="F14" s="81" t="str">
        <f>ROUNDUP(AB14*F13,2)</f>
        <v>0</v>
      </c>
      <c r="G14" s="81" t="str">
        <f>ROUNDUP(AB14*G13,2)</f>
        <v>0</v>
      </c>
      <c r="H14" s="81" t="str">
        <f>ROUNDUP(AB14*H13,2)</f>
        <v>0</v>
      </c>
      <c r="I14" s="81" t="str">
        <f>ROUNDUP(AB14*I13,2)</f>
        <v>0</v>
      </c>
      <c r="J14" s="81" t="str">
        <f>ROUNDUP(AB14*J13,2)</f>
        <v>0</v>
      </c>
      <c r="K14" s="81" t="str">
        <f>ROUNDUP(AB14*K13,2)</f>
        <v>0</v>
      </c>
      <c r="L14" s="81" t="str">
        <f>ROUNDUP(AB14*L13,2)</f>
        <v>0</v>
      </c>
      <c r="M14" s="81" t="str">
        <f>ROUNDUP(AB14*M13,2)</f>
        <v>0</v>
      </c>
      <c r="N14" s="81" t="str">
        <f>ROUNDUP(AB14*N13,2)</f>
        <v>0</v>
      </c>
      <c r="O14" s="81" t="str">
        <f>ROUNDUP(AB14*O13,2)</f>
        <v>0</v>
      </c>
      <c r="P14" s="81" t="str">
        <f>ROUNDUP(AB14*P13,2)</f>
        <v>0</v>
      </c>
      <c r="Q14" s="81" t="str">
        <f>ROUNDUP(AB14*Q13,2)</f>
        <v>0</v>
      </c>
      <c r="R14" s="81" t="str">
        <f>ROUNDUP(AB14*R13,2)</f>
        <v>0</v>
      </c>
      <c r="S14" s="81" t="str">
        <f>ROUNDUP(AB14*S13,2)</f>
        <v>0</v>
      </c>
      <c r="T14" s="81" t="str">
        <f>ROUNDUP(AB14*T13,2)</f>
        <v>0</v>
      </c>
      <c r="U14" s="81" t="str">
        <f>ROUNDUP(AB14*U13,2)</f>
        <v>0</v>
      </c>
      <c r="V14" s="81" t="str">
        <f>ROUNDUP(AB14*V13,2)</f>
        <v>0</v>
      </c>
      <c r="W14" s="81" t="str">
        <f>ROUNDUP(AB14*W13,2)</f>
        <v>0</v>
      </c>
      <c r="X14" s="81" t="str">
        <f>ROUNDUP(AB14*X13,2)</f>
        <v>0</v>
      </c>
      <c r="Y14" s="81" t="str">
        <f>ROUNDUP(AB14*Y13,2)</f>
        <v>0</v>
      </c>
      <c r="Z14" s="81" t="str">
        <f>ROUNDUP(AB14*Z13,2)</f>
        <v>0</v>
      </c>
      <c r="AA14" s="81" t="str">
        <f>ROUNDUP(AB14*AA13,2)</f>
        <v>0</v>
      </c>
      <c r="AB14" s="86" t="str">
        <f>IF(AB7&lt;1, ROUNDUP(AF7*0.6, 0), ROUNDUP(AF7*0.6*AB7, 0))</f>
        <v>0</v>
      </c>
    </row>
    <row r="15" spans="1:32">
      <c r="B15" s="74" t="s">
        <v>124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1" t="str">
        <f>ROUNDUP(J11+J14,2)</f>
        <v>0</v>
      </c>
      <c r="K15" s="81" t="str">
        <f>ROUNDUP(K11+K14,2)</f>
        <v>0</v>
      </c>
      <c r="L15" s="81" t="str">
        <f>ROUNDUP(L11+L14,2)</f>
        <v>0</v>
      </c>
      <c r="M15" s="81" t="str">
        <f>ROUNDUP(M11+M14,2)</f>
        <v>0</v>
      </c>
      <c r="N15" s="81" t="str">
        <f>ROUNDUP(N11+N14,2)</f>
        <v>0</v>
      </c>
      <c r="O15" s="81" t="str">
        <f>ROUNDUP(O11+O14,2)</f>
        <v>0</v>
      </c>
      <c r="P15" s="81" t="str">
        <f>ROUNDUP(P11+P14,2)</f>
        <v>0</v>
      </c>
      <c r="Q15" s="81" t="str">
        <f>ROUNDUP(Q11+Q14,2)</f>
        <v>0</v>
      </c>
      <c r="R15" s="81" t="str">
        <f>ROUNDUP(R11+R14,2)</f>
        <v>0</v>
      </c>
      <c r="S15" s="81" t="str">
        <f>ROUNDUP(S11+S14,2)</f>
        <v>0</v>
      </c>
      <c r="T15" s="81" t="str">
        <f>ROUNDUP(T11+T14,2)</f>
        <v>0</v>
      </c>
      <c r="U15" s="81" t="str">
        <f>ROUNDUP(U11+U14,2)</f>
        <v>0</v>
      </c>
      <c r="V15" s="81" t="str">
        <f>ROUNDUP(V11+V14,2)</f>
        <v>0</v>
      </c>
      <c r="W15" s="81" t="str">
        <f>ROUNDUP(W11+W14,2)</f>
        <v>0</v>
      </c>
      <c r="X15" s="81" t="str">
        <f>ROUNDUP(X11+X14,2)</f>
        <v>0</v>
      </c>
      <c r="Y15" s="81" t="str">
        <f>ROUNDUP(Y11+Y14,2)</f>
        <v>0</v>
      </c>
      <c r="Z15" s="81" t="str">
        <f>ROUNDUP(Z11+Z14,2)</f>
        <v>0</v>
      </c>
      <c r="AA15" s="81" t="str">
        <f>ROUNDUP(AA11+AA14,2)</f>
        <v>0</v>
      </c>
      <c r="AB15" s="86" t="str">
        <f>SUM(C15:AA15)</f>
        <v>0</v>
      </c>
    </row>
    <row r="16" spans="1:32">
      <c r="B16" s="79" t="s">
        <v>125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1" t="str">
        <f>ROUNDUP(J12+J14,2)</f>
        <v>0</v>
      </c>
      <c r="K16" s="81" t="str">
        <f>ROUNDUP(K12+K14,2)</f>
        <v>0</v>
      </c>
      <c r="L16" s="81" t="str">
        <f>ROUNDUP(L12+L14,2)</f>
        <v>0</v>
      </c>
      <c r="M16" s="81" t="str">
        <f>ROUNDUP(M12+M14,2)</f>
        <v>0</v>
      </c>
      <c r="N16" s="81" t="str">
        <f>ROUNDUP(N12+N14,2)</f>
        <v>0</v>
      </c>
      <c r="O16" s="81" t="str">
        <f>ROUNDUP(O12+O14,2)</f>
        <v>0</v>
      </c>
      <c r="P16" s="81" t="str">
        <f>ROUNDUP(P12+P14,2)</f>
        <v>0</v>
      </c>
      <c r="Q16" s="81" t="str">
        <f>ROUNDUP(Q12+Q14,2)</f>
        <v>0</v>
      </c>
      <c r="R16" s="81" t="str">
        <f>ROUNDUP(R12+R14,2)</f>
        <v>0</v>
      </c>
      <c r="S16" s="81" t="str">
        <f>ROUNDUP(S12+S14,2)</f>
        <v>0</v>
      </c>
      <c r="T16" s="81" t="str">
        <f>ROUNDUP(T12+T14,2)</f>
        <v>0</v>
      </c>
      <c r="U16" s="81" t="str">
        <f>ROUNDUP(U12+U14,2)</f>
        <v>0</v>
      </c>
      <c r="V16" s="81" t="str">
        <f>ROUNDUP(V12+V14,2)</f>
        <v>0</v>
      </c>
      <c r="W16" s="81" t="str">
        <f>ROUNDUP(W12+W14,2)</f>
        <v>0</v>
      </c>
      <c r="X16" s="81" t="str">
        <f>ROUNDUP(X12+X14,2)</f>
        <v>0</v>
      </c>
      <c r="Y16" s="81" t="str">
        <f>ROUNDUP(Y12+Y14,2)</f>
        <v>0</v>
      </c>
      <c r="Z16" s="81" t="str">
        <f>ROUNDUP(Z12+Z14,2)</f>
        <v>0</v>
      </c>
      <c r="AA16" s="81" t="str">
        <f>ROUNDUP(AA12+AA14,2)</f>
        <v>0</v>
      </c>
      <c r="AB16" s="86" t="str">
        <f>SUM(C16:AA16)</f>
        <v>0</v>
      </c>
    </row>
    <row r="17" spans="1:32">
      <c r="B17" s="74" t="s">
        <v>126</v>
      </c>
      <c r="C17" s="81" t="str">
        <f>IF(AB15&gt;5000,ROUND(100*C13,2),ROUND(50*C13,2))</f>
        <v>0</v>
      </c>
      <c r="D17" s="81" t="str">
        <f>IF(AB15&gt;5000,ROUND(100*D13,2),ROUND(50*D13,2))</f>
        <v>0</v>
      </c>
      <c r="E17" s="81" t="str">
        <f>IF(AB15&gt;5000,ROUND(100*E13,2),ROUND(50*E13,2))</f>
        <v>0</v>
      </c>
      <c r="F17" s="81" t="str">
        <f>IF(AB15&gt;5000,ROUND(100*F13,2),ROUND(50*F13,2))</f>
        <v>0</v>
      </c>
      <c r="G17" s="81" t="str">
        <f>IF(AB15&gt;5000,ROUND(100*G13,2),ROUND(50*G13,2))</f>
        <v>0</v>
      </c>
      <c r="H17" s="81" t="str">
        <f>IF(AB15&gt;5000,ROUND(100*H13,2),ROUND(50*H13,2))</f>
        <v>0</v>
      </c>
      <c r="I17" s="81" t="str">
        <f>IF(AB15&gt;5000,ROUND(100*I13,2),ROUND(50*I13,2))</f>
        <v>0</v>
      </c>
      <c r="J17" s="81" t="str">
        <f>IF(AB15&gt;5000,ROUND(100*J13,2),ROUND(50*J13,2))</f>
        <v>0</v>
      </c>
      <c r="K17" s="81" t="str">
        <f>IF(AB15&gt;5000,ROUND(100*K13,2),ROUND(50*K13,2))</f>
        <v>0</v>
      </c>
      <c r="L17" s="81" t="str">
        <f>IF(AB15&gt;5000,ROUND(100*L13,2),ROUND(50*L13,2))</f>
        <v>0</v>
      </c>
      <c r="M17" s="81" t="str">
        <f>IF(AB15&gt;5000,ROUND(100*M13,2),ROUND(50*M13,2))</f>
        <v>0</v>
      </c>
      <c r="N17" s="81" t="str">
        <f>IF(AB15&gt;5000,ROUND(100*N13,2),ROUND(50*N13,2))</f>
        <v>0</v>
      </c>
      <c r="O17" s="81" t="str">
        <f>IF(AB15&gt;5000,ROUND(100*O13,2),ROUND(50*O13,2))</f>
        <v>0</v>
      </c>
      <c r="P17" s="81" t="str">
        <f>IF(AB15&gt;5000,ROUND(100*P13,2),ROUND(50*P13,2))</f>
        <v>0</v>
      </c>
      <c r="Q17" s="81" t="str">
        <f>IF(AB15&gt;5000,ROUND(100*Q13,2),ROUND(50*Q13,2))</f>
        <v>0</v>
      </c>
      <c r="R17" s="81" t="str">
        <f>IF(AB15&gt;5000,ROUND(100*R13,2),ROUND(50*R13,2))</f>
        <v>0</v>
      </c>
      <c r="S17" s="81" t="str">
        <f>IF(AB15&gt;5000,ROUND(100*S13,2),ROUND(50*S13,2))</f>
        <v>0</v>
      </c>
      <c r="T17" s="81" t="str">
        <f>IF(AB15&gt;5000,ROUND(100*T13,2),ROUND(50*T13,2))</f>
        <v>0</v>
      </c>
      <c r="U17" s="81" t="str">
        <f>IF(AB15&gt;5000,ROUND(100*U13,2),ROUND(50*U13,2))</f>
        <v>0</v>
      </c>
      <c r="V17" s="81" t="str">
        <f>IF(AB15&gt;5000,ROUND(100*V13,2),ROUND(50*V13,2))</f>
        <v>0</v>
      </c>
      <c r="W17" s="81" t="str">
        <f>IF(AB15&gt;5000,ROUND(100*W13,2),ROUND(50*W13,2))</f>
        <v>0</v>
      </c>
      <c r="X17" s="81" t="str">
        <f>IF(AB15&gt;5000,ROUND(100*X13,2),ROUND(50*X13,2))</f>
        <v>0</v>
      </c>
      <c r="Y17" s="81" t="str">
        <f>IF(AB15&gt;5000,ROUND(100*Y13,2),ROUND(50*Y13,2))</f>
        <v>0</v>
      </c>
      <c r="Z17" s="81" t="str">
        <f>IF(AB15&gt;5000,ROUND(100*Z13,2),ROUND(50*Z13,2))</f>
        <v>0</v>
      </c>
      <c r="AA17" s="81" t="str">
        <f>IF(AB15&gt;5000,ROUND(100*AA13,2),ROUND(50*AA13,2))</f>
        <v>0</v>
      </c>
      <c r="AB17" s="86" t="str">
        <f>SUM(C17:AA17)</f>
        <v>0</v>
      </c>
    </row>
    <row r="18" spans="1:32">
      <c r="B18" s="74" t="s">
        <v>127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1" t="str">
        <f>ROUNDUP(J15+J17,2)</f>
        <v>0</v>
      </c>
      <c r="K18" s="81" t="str">
        <f>ROUNDUP(K15+K17,2)</f>
        <v>0</v>
      </c>
      <c r="L18" s="81" t="str">
        <f>ROUNDUP(L15+L17,2)</f>
        <v>0</v>
      </c>
      <c r="M18" s="81" t="str">
        <f>ROUNDUP(M15+M17,2)</f>
        <v>0</v>
      </c>
      <c r="N18" s="81" t="str">
        <f>ROUNDUP(N15+N17,2)</f>
        <v>0</v>
      </c>
      <c r="O18" s="81" t="str">
        <f>ROUNDUP(O15+O17,2)</f>
        <v>0</v>
      </c>
      <c r="P18" s="81" t="str">
        <f>ROUNDUP(P15+P17,2)</f>
        <v>0</v>
      </c>
      <c r="Q18" s="81" t="str">
        <f>ROUNDUP(Q15+Q17,2)</f>
        <v>0</v>
      </c>
      <c r="R18" s="81" t="str">
        <f>ROUNDUP(R15+R17,2)</f>
        <v>0</v>
      </c>
      <c r="S18" s="81" t="str">
        <f>ROUNDUP(S15+S17,2)</f>
        <v>0</v>
      </c>
      <c r="T18" s="81" t="str">
        <f>ROUNDUP(T15+T17,2)</f>
        <v>0</v>
      </c>
      <c r="U18" s="81" t="str">
        <f>ROUNDUP(U15+U17,2)</f>
        <v>0</v>
      </c>
      <c r="V18" s="81" t="str">
        <f>ROUNDUP(V15+V17,2)</f>
        <v>0</v>
      </c>
      <c r="W18" s="81" t="str">
        <f>ROUNDUP(W15+W17,2)</f>
        <v>0</v>
      </c>
      <c r="X18" s="81" t="str">
        <f>ROUNDUP(X15+X17,2)</f>
        <v>0</v>
      </c>
      <c r="Y18" s="81" t="str">
        <f>ROUNDUP(Y15+Y17,2)</f>
        <v>0</v>
      </c>
      <c r="Z18" s="81" t="str">
        <f>ROUNDUP(Z15+Z17,2)</f>
        <v>0</v>
      </c>
      <c r="AA18" s="81" t="str">
        <f>ROUNDUP(AA15+AA17,2)</f>
        <v>0</v>
      </c>
      <c r="AB18" s="86" t="str">
        <f>SUM(C18:AA18)</f>
        <v>0</v>
      </c>
    </row>
    <row r="19" spans="1:32">
      <c r="B19" s="79" t="s">
        <v>128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1" t="str">
        <f>ROUNDUP(J16+J17,2)</f>
        <v>0</v>
      </c>
      <c r="K19" s="81" t="str">
        <f>ROUNDUP(K16+K17,2)</f>
        <v>0</v>
      </c>
      <c r="L19" s="81" t="str">
        <f>ROUNDUP(L16+L17,2)</f>
        <v>0</v>
      </c>
      <c r="M19" s="81" t="str">
        <f>ROUNDUP(M16+M17,2)</f>
        <v>0</v>
      </c>
      <c r="N19" s="81" t="str">
        <f>ROUNDUP(N16+N17,2)</f>
        <v>0</v>
      </c>
      <c r="O19" s="81" t="str">
        <f>ROUNDUP(O16+O17,2)</f>
        <v>0</v>
      </c>
      <c r="P19" s="81" t="str">
        <f>ROUNDUP(P16+P17,2)</f>
        <v>0</v>
      </c>
      <c r="Q19" s="81" t="str">
        <f>ROUNDUP(Q16+Q17,2)</f>
        <v>0</v>
      </c>
      <c r="R19" s="81" t="str">
        <f>ROUNDUP(R16+R17,2)</f>
        <v>0</v>
      </c>
      <c r="S19" s="81" t="str">
        <f>ROUNDUP(S16+S17,2)</f>
        <v>0</v>
      </c>
      <c r="T19" s="81" t="str">
        <f>ROUNDUP(T16+T17,2)</f>
        <v>0</v>
      </c>
      <c r="U19" s="81" t="str">
        <f>ROUNDUP(U16+U17,2)</f>
        <v>0</v>
      </c>
      <c r="V19" s="81" t="str">
        <f>ROUNDUP(V16+V17,2)</f>
        <v>0</v>
      </c>
      <c r="W19" s="81" t="str">
        <f>ROUNDUP(W16+W17,2)</f>
        <v>0</v>
      </c>
      <c r="X19" s="81" t="str">
        <f>ROUNDUP(X16+X17,2)</f>
        <v>0</v>
      </c>
      <c r="Y19" s="81" t="str">
        <f>ROUNDUP(Y16+Y17,2)</f>
        <v>0</v>
      </c>
      <c r="Z19" s="81" t="str">
        <f>ROUNDUP(Z16+Z17,2)</f>
        <v>0</v>
      </c>
      <c r="AA19" s="81" t="str">
        <f>ROUNDUP(AA16+AA17,2)</f>
        <v>0</v>
      </c>
      <c r="AB19" s="86" t="str">
        <f>SUM(C19:AA19)</f>
        <v>0</v>
      </c>
    </row>
    <row r="23" spans="1:32">
      <c r="B23" s="75" t="s">
        <v>129</v>
      </c>
      <c r="C23" s="74"/>
      <c r="D23" s="74"/>
      <c r="E23" s="74"/>
    </row>
    <row r="26" spans="1:32">
      <c r="B26" s="74" t="s">
        <v>34</v>
      </c>
      <c r="C26" s="81">
        <v>0</v>
      </c>
      <c r="D26" s="81">
        <v>0</v>
      </c>
      <c r="E26" s="81">
        <v>0</v>
      </c>
      <c r="F26" s="81">
        <v>400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 t="str">
        <f>SUM(C26:AA26)</f>
        <v>0</v>
      </c>
    </row>
    <row r="27" spans="1:32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0.11</v>
      </c>
      <c r="I27" s="87">
        <v>0.11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4" t="str">
        <f>SUM(C27:AA27)</f>
        <v>0</v>
      </c>
    </row>
    <row r="28" spans="1:32">
      <c r="B28" s="74" t="s">
        <v>130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MAX(N19,N18)*N27</f>
        <v>0</v>
      </c>
      <c r="O28" s="81" t="str">
        <f>MAX(O19,O18)*O27</f>
        <v>0</v>
      </c>
      <c r="P28" s="81" t="str">
        <f>MAX(P19,P18)*P27</f>
        <v>0</v>
      </c>
      <c r="Q28" s="81" t="str">
        <f>MAX(Q19,Q18)*Q27</f>
        <v>0</v>
      </c>
      <c r="R28" s="81" t="str">
        <f>MAX(R19,R18)*R27</f>
        <v>0</v>
      </c>
      <c r="S28" s="81" t="str">
        <f>MAX(S19,S18)*S27</f>
        <v>0</v>
      </c>
      <c r="T28" s="81" t="str">
        <f>MAX(T19,T18)*T27</f>
        <v>0</v>
      </c>
      <c r="U28" s="81" t="str">
        <f>MAX(U19,U18)*U27</f>
        <v>0</v>
      </c>
      <c r="V28" s="81" t="str">
        <f>MAX(V19,V18)*V27</f>
        <v>0</v>
      </c>
      <c r="W28" s="81" t="str">
        <f>MAX(W19,W18)*W27</f>
        <v>0</v>
      </c>
      <c r="X28" s="81" t="str">
        <f>MAX(X19,X18)*X27</f>
        <v>0</v>
      </c>
      <c r="Y28" s="81" t="str">
        <f>MAX(Y19,Y18)*Y27</f>
        <v>0</v>
      </c>
      <c r="Z28" s="81" t="str">
        <f>MAX(Z19,Z18)*Z27</f>
        <v>0</v>
      </c>
      <c r="AA28" s="81" t="str">
        <f>MAX(AA19,AA18)*AA27</f>
        <v>0</v>
      </c>
      <c r="AB28" s="81" t="str">
        <f>SUM(C28:AA28)</f>
        <v>0</v>
      </c>
    </row>
    <row r="29" spans="1:32">
      <c r="B29" s="74" t="s">
        <v>32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0.16*(MAX(N19,N18)+N28)</f>
        <v>0</v>
      </c>
      <c r="O29" s="81" t="str">
        <f>0.16*(MAX(O19,O18)+O28)</f>
        <v>0</v>
      </c>
      <c r="P29" s="81" t="str">
        <f>0.16*(MAX(P19,P18)+P28)</f>
        <v>0</v>
      </c>
      <c r="Q29" s="81" t="str">
        <f>0.16*(MAX(Q19,Q18)+Q28)</f>
        <v>0</v>
      </c>
      <c r="R29" s="81" t="str">
        <f>0.16*(MAX(R19,R18)+R28)</f>
        <v>0</v>
      </c>
      <c r="S29" s="81" t="str">
        <f>0.16*(MAX(S19,S18)+S28)</f>
        <v>0</v>
      </c>
      <c r="T29" s="81" t="str">
        <f>0.16*(MAX(T19,T18)+T28)</f>
        <v>0</v>
      </c>
      <c r="U29" s="81" t="str">
        <f>0.16*(MAX(U19,U18)+U28)</f>
        <v>0</v>
      </c>
      <c r="V29" s="81" t="str">
        <f>0.16*(MAX(V19,V18)+V28)</f>
        <v>0</v>
      </c>
      <c r="W29" s="81" t="str">
        <f>0.16*(MAX(W19,W18)+W28)</f>
        <v>0</v>
      </c>
      <c r="X29" s="81" t="str">
        <f>0.16*(MAX(X19,X18)+X28)</f>
        <v>0</v>
      </c>
      <c r="Y29" s="81" t="str">
        <f>0.16*(MAX(Y19,Y18)+Y28)</f>
        <v>0</v>
      </c>
      <c r="Z29" s="81" t="str">
        <f>0.16*(MAX(Z19,Z18)+Z28)</f>
        <v>0</v>
      </c>
      <c r="AA29" s="81" t="str">
        <f>0.16*(MAX(AA19,AA18)+AA28)</f>
        <v>0</v>
      </c>
      <c r="AB29" s="81" t="str">
        <f>SUM(C29:AA29)</f>
        <v>0</v>
      </c>
    </row>
    <row r="30" spans="1:32">
      <c r="B30" s="74" t="s">
        <v>33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0.02*(MAX(N19,N18)+N28)</f>
        <v>0</v>
      </c>
      <c r="O30" s="81" t="str">
        <f>0.02*(MAX(O19,O18)+O28)</f>
        <v>0</v>
      </c>
      <c r="P30" s="81" t="str">
        <f>0.02*(MAX(P19,P18)+P28)</f>
        <v>0</v>
      </c>
      <c r="Q30" s="81" t="str">
        <f>0.02*(MAX(Q19,Q18)+Q28)</f>
        <v>0</v>
      </c>
      <c r="R30" s="81" t="str">
        <f>0.02*(MAX(R19,R18)+R28)</f>
        <v>0</v>
      </c>
      <c r="S30" s="81" t="str">
        <f>0.02*(MAX(S19,S18)+S28)</f>
        <v>0</v>
      </c>
      <c r="T30" s="81" t="str">
        <f>0.02*(MAX(T19,T18)+T28)</f>
        <v>0</v>
      </c>
      <c r="U30" s="81" t="str">
        <f>0.02*(MAX(U19,U18)+U28)</f>
        <v>0</v>
      </c>
      <c r="V30" s="81" t="str">
        <f>0.02*(MAX(V19,V18)+V28)</f>
        <v>0</v>
      </c>
      <c r="W30" s="81" t="str">
        <f>0.02*(MAX(W19,W18)+W28)</f>
        <v>0</v>
      </c>
      <c r="X30" s="81" t="str">
        <f>0.02*(MAX(X19,X18)+X28)</f>
        <v>0</v>
      </c>
      <c r="Y30" s="81" t="str">
        <f>0.02*(MAX(Y19,Y18)+Y28)</f>
        <v>0</v>
      </c>
      <c r="Z30" s="81" t="str">
        <f>0.02*(MAX(Z19,Z18)+Z28)</f>
        <v>0</v>
      </c>
      <c r="AA30" s="81" t="str">
        <f>0.02*(MAX(AA19,AA18)+AA28)</f>
        <v>0</v>
      </c>
      <c r="AB30" s="81" t="str">
        <f>SUM(C30:AA30)</f>
        <v>0</v>
      </c>
    </row>
    <row r="31" spans="1:32">
      <c r="B31" s="74" t="s">
        <v>131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0.035*(MAX(N18,N19) +N28+N29+N30)</f>
        <v>0</v>
      </c>
      <c r="O31" s="81" t="str">
        <f>0.035*(MAX(O18,O19) +O28+O29+O30)</f>
        <v>0</v>
      </c>
      <c r="P31" s="81" t="str">
        <f>0.035*(MAX(P18,P19) +P28+P29+P30)</f>
        <v>0</v>
      </c>
      <c r="Q31" s="81" t="str">
        <f>0.035*(MAX(Q18,Q19) +Q28+Q29+Q30)</f>
        <v>0</v>
      </c>
      <c r="R31" s="81" t="str">
        <f>0.035*(MAX(R18,R19) +R28+R29+R30)</f>
        <v>0</v>
      </c>
      <c r="S31" s="81" t="str">
        <f>0.035*(MAX(S18,S19) +S28+S29+S30)</f>
        <v>0</v>
      </c>
      <c r="T31" s="81" t="str">
        <f>0.035*(MAX(T18,T19) +T28+T29+T30)</f>
        <v>0</v>
      </c>
      <c r="U31" s="81" t="str">
        <f>0.035*(MAX(U18,U19) +U28+U29+U30)</f>
        <v>0</v>
      </c>
      <c r="V31" s="81" t="str">
        <f>0.035*(MAX(V18,V19) +V28+V29+V30)</f>
        <v>0</v>
      </c>
      <c r="W31" s="81" t="str">
        <f>0.035*(MAX(W18,W19) +W28+W29+W30)</f>
        <v>0</v>
      </c>
      <c r="X31" s="81" t="str">
        <f>0.035*(MAX(X18,X19) +X28+X29+X30)</f>
        <v>0</v>
      </c>
      <c r="Y31" s="81" t="str">
        <f>0.035*(MAX(Y18,Y19) +Y28+Y29+Y30)</f>
        <v>0</v>
      </c>
      <c r="Z31" s="81" t="str">
        <f>0.035*(MAX(Z18,Z19) +Z28+Z29+Z30)</f>
        <v>0</v>
      </c>
      <c r="AA31" s="81" t="str">
        <f>0.035*(MAX(AA18,AA19) +AA28+AA29+AA30)</f>
        <v>0</v>
      </c>
      <c r="AB31" s="81" t="str">
        <f>SUM(C31:AA31)</f>
        <v>0</v>
      </c>
    </row>
    <row r="32" spans="1:32">
      <c r="B32" s="74" t="s">
        <v>38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  <c r="O32" s="81" t="str">
        <f>SUM(O28:O31)</f>
        <v>0</v>
      </c>
      <c r="P32" s="81" t="str">
        <f>SUM(P28:P31)</f>
        <v>0</v>
      </c>
      <c r="Q32" s="81" t="str">
        <f>SUM(Q28:Q31)</f>
        <v>0</v>
      </c>
      <c r="R32" s="81" t="str">
        <f>SUM(R28:R31)</f>
        <v>0</v>
      </c>
      <c r="S32" s="81" t="str">
        <f>SUM(S28:S31)</f>
        <v>0</v>
      </c>
      <c r="T32" s="81" t="str">
        <f>SUM(T28:T31)</f>
        <v>0</v>
      </c>
      <c r="U32" s="81" t="str">
        <f>SUM(U28:U31)</f>
        <v>0</v>
      </c>
      <c r="V32" s="81" t="str">
        <f>SUM(V28:V31)</f>
        <v>0</v>
      </c>
      <c r="W32" s="81" t="str">
        <f>SUM(W28:W31)</f>
        <v>0</v>
      </c>
      <c r="X32" s="81" t="str">
        <f>SUM(X28:X31)</f>
        <v>0</v>
      </c>
      <c r="Y32" s="81" t="str">
        <f>SUM(Y28:Y31)</f>
        <v>0</v>
      </c>
      <c r="Z32" s="81" t="str">
        <f>SUM(Z28:Z31)</f>
        <v>0</v>
      </c>
      <c r="AA32" s="81" t="str">
        <f>SUM(AA28:AA31)</f>
        <v>0</v>
      </c>
      <c r="AB32" s="81" t="str">
        <f>SUM(AB28:AB31)</f>
        <v>0</v>
      </c>
    </row>
    <row r="37" spans="1:32">
      <c r="B37" s="75" t="s">
        <v>132</v>
      </c>
      <c r="C37" s="74"/>
      <c r="D37" s="74"/>
      <c r="E37" s="74"/>
    </row>
    <row r="40" spans="1:32">
      <c r="B40" s="74" t="s">
        <v>133</v>
      </c>
      <c r="C40" s="81" t="str">
        <f>C13*AB40</f>
        <v>0</v>
      </c>
      <c r="D40" s="81" t="str">
        <f>D13*AB40</f>
        <v>0</v>
      </c>
      <c r="E40" s="81" t="str">
        <f>E13*AB40</f>
        <v>0</v>
      </c>
      <c r="F40" s="81" t="str">
        <f>F13*AB40</f>
        <v>0</v>
      </c>
      <c r="G40" s="81" t="str">
        <f>G13*AB40</f>
        <v>0</v>
      </c>
      <c r="H40" s="81" t="str">
        <f>H13*AB40</f>
        <v>0</v>
      </c>
      <c r="I40" s="81" t="str">
        <f>I13*AB40</f>
        <v>0</v>
      </c>
      <c r="J40" s="81" t="str">
        <f>J13*AB40</f>
        <v>0</v>
      </c>
      <c r="K40" s="81" t="str">
        <f>K13*AB40</f>
        <v>0</v>
      </c>
      <c r="L40" s="81" t="str">
        <f>L13*AB40</f>
        <v>0</v>
      </c>
      <c r="M40" s="81" t="str">
        <f>M13*AB40</f>
        <v>0</v>
      </c>
      <c r="N40" s="81" t="str">
        <f>N13*AB40</f>
        <v>0</v>
      </c>
      <c r="O40" s="81" t="str">
        <f>O13*AB40</f>
        <v>0</v>
      </c>
      <c r="P40" s="81" t="str">
        <f>P13*AB40</f>
        <v>0</v>
      </c>
      <c r="Q40" s="81" t="str">
        <f>Q13*AB40</f>
        <v>0</v>
      </c>
      <c r="R40" s="81" t="str">
        <f>R13*AB40</f>
        <v>0</v>
      </c>
      <c r="S40" s="81" t="str">
        <f>S13*AB40</f>
        <v>0</v>
      </c>
      <c r="T40" s="81" t="str">
        <f>T13*AB40</f>
        <v>0</v>
      </c>
      <c r="U40" s="81" t="str">
        <f>U13*AB40</f>
        <v>0</v>
      </c>
      <c r="V40" s="81" t="str">
        <f>V13*AB40</f>
        <v>0</v>
      </c>
      <c r="W40" s="81" t="str">
        <f>W13*AB40</f>
        <v>0</v>
      </c>
      <c r="X40" s="81" t="str">
        <f>X13*AB40</f>
        <v>0</v>
      </c>
      <c r="Y40" s="81" t="str">
        <f>Y13*AB40</f>
        <v>0</v>
      </c>
      <c r="Z40" s="81" t="str">
        <f>Z13*AB40</f>
        <v>0</v>
      </c>
      <c r="AA40" s="81" t="str">
        <f>AA13*AB40</f>
        <v>0</v>
      </c>
      <c r="AB40" s="81" t="str">
        <f>IF(AB7&lt;1, ROUNDUP(AF7*0.4, 0), ROUNDUP(AF7*0.4*AB7, 0))</f>
        <v>0</v>
      </c>
    </row>
    <row r="41" spans="1:32">
      <c r="B41"/>
    </row>
    <row r="43" spans="1:32">
      <c r="B43" s="74" t="s">
        <v>133</v>
      </c>
      <c r="C43" s="74" t="s">
        <v>51</v>
      </c>
      <c r="D43" s="74" t="s">
        <v>52</v>
      </c>
      <c r="E43" s="74" t="s">
        <v>53</v>
      </c>
      <c r="F43" s="74" t="s">
        <v>54</v>
      </c>
      <c r="G43" s="74" t="s">
        <v>55</v>
      </c>
      <c r="H43" s="74" t="s">
        <v>56</v>
      </c>
      <c r="I43" s="74" t="s">
        <v>57</v>
      </c>
      <c r="J43" s="74" t="s">
        <v>58</v>
      </c>
      <c r="K43" s="74" t="s">
        <v>59</v>
      </c>
      <c r="L43" s="74" t="s">
        <v>60</v>
      </c>
      <c r="M43" s="74" t="s">
        <v>61</v>
      </c>
      <c r="N43" s="74" t="s">
        <v>62</v>
      </c>
      <c r="O43" s="74" t="s">
        <v>63</v>
      </c>
      <c r="P43" s="74" t="s">
        <v>64</v>
      </c>
      <c r="Q43" s="74" t="s">
        <v>65</v>
      </c>
      <c r="R43" s="74" t="s">
        <v>66</v>
      </c>
      <c r="S43" s="74" t="s">
        <v>67</v>
      </c>
      <c r="T43" s="74" t="s">
        <v>68</v>
      </c>
      <c r="U43" s="74" t="s">
        <v>69</v>
      </c>
      <c r="V43" s="74" t="s">
        <v>70</v>
      </c>
      <c r="W43" s="74" t="s">
        <v>71</v>
      </c>
      <c r="X43" s="74" t="s">
        <v>72</v>
      </c>
      <c r="Y43" s="74" t="s">
        <v>73</v>
      </c>
      <c r="Z43" s="74" t="s">
        <v>74</v>
      </c>
      <c r="AA43" s="74" t="s">
        <v>75</v>
      </c>
      <c r="AB43" s="74" t="s">
        <v>112</v>
      </c>
    </row>
    <row r="44" spans="1:32">
      <c r="B44" s="74" t="s">
        <v>134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SUM(J15,J40,J32,(J26*J10))</f>
        <v>0</v>
      </c>
      <c r="K44" s="81" t="str">
        <f>SUM(K15,K40,K32,(K26*K10))</f>
        <v>0</v>
      </c>
      <c r="L44" s="81" t="str">
        <f>SUM(L15,L40,L32,(L26*L10))</f>
        <v>0</v>
      </c>
      <c r="M44" s="81" t="str">
        <f>SUM(M15,M40,M32,(M26*M10))</f>
        <v>0</v>
      </c>
      <c r="N44" s="81" t="str">
        <f>SUM(N15,N40,N32,(N26*N10))</f>
        <v>0</v>
      </c>
      <c r="O44" s="81" t="str">
        <f>SUM(O15,O40,O32,(O26*O10))</f>
        <v>0</v>
      </c>
      <c r="P44" s="81" t="str">
        <f>SUM(P15,P40,P32,(P26*P10))</f>
        <v>0</v>
      </c>
      <c r="Q44" s="81" t="str">
        <f>SUM(Q15,Q40,Q32,(Q26*Q10))</f>
        <v>0</v>
      </c>
      <c r="R44" s="81" t="str">
        <f>SUM(R15,R40,R32,(R26*R10))</f>
        <v>0</v>
      </c>
      <c r="S44" s="81" t="str">
        <f>SUM(S15,S40,S32,(S26*S10))</f>
        <v>0</v>
      </c>
      <c r="T44" s="81" t="str">
        <f>SUM(T15,T40,T32,(T26*T10))</f>
        <v>0</v>
      </c>
      <c r="U44" s="81" t="str">
        <f>SUM(U15,U40,U32,(U26*U10))</f>
        <v>0</v>
      </c>
      <c r="V44" s="81" t="str">
        <f>SUM(V15,V40,V32,(V26*V10))</f>
        <v>0</v>
      </c>
      <c r="W44" s="81" t="str">
        <f>SUM(W15,W40,W32,(W26*W10))</f>
        <v>0</v>
      </c>
      <c r="X44" s="81" t="str">
        <f>SUM(X15,X40,X32,(X26*X10))</f>
        <v>0</v>
      </c>
      <c r="Y44" s="81" t="str">
        <f>SUM(Y15,Y40,Y32,(Y26*Y10))</f>
        <v>0</v>
      </c>
      <c r="Z44" s="81" t="str">
        <f>SUM(Z15,Z40,Z32,(Z26*Z10))</f>
        <v>0</v>
      </c>
      <c r="AA44" s="81" t="str">
        <f>SUM(AA15,AA40,AA32,(AA26*AA10))</f>
        <v>0</v>
      </c>
      <c r="AB44" s="81" t="str">
        <f>SUM(C44:AA44)</f>
        <v>0</v>
      </c>
    </row>
    <row r="45" spans="1:32">
      <c r="B45" s="74" t="s">
        <v>47</v>
      </c>
      <c r="C45" s="74">
        <v>65</v>
      </c>
      <c r="D45" s="74">
        <v>6</v>
      </c>
      <c r="E45" s="74">
        <v>1</v>
      </c>
      <c r="F45" s="74">
        <v>200</v>
      </c>
      <c r="G45" s="74">
        <v>200</v>
      </c>
      <c r="H45" s="74">
        <v>400</v>
      </c>
      <c r="I45" s="74">
        <v>240</v>
      </c>
      <c r="J45" s="74">
        <v>30</v>
      </c>
      <c r="K45" s="74">
        <v>300</v>
      </c>
      <c r="L45" s="74">
        <v>6</v>
      </c>
      <c r="M45" s="74">
        <v>60</v>
      </c>
      <c r="N45" s="74">
        <v>120</v>
      </c>
      <c r="O45" s="74">
        <v>90</v>
      </c>
      <c r="P45" s="74">
        <v>4</v>
      </c>
      <c r="Q45" s="74">
        <v>2</v>
      </c>
      <c r="R45" s="74">
        <v>6</v>
      </c>
      <c r="S45" s="74">
        <v>36</v>
      </c>
      <c r="T45" s="74">
        <v>700</v>
      </c>
      <c r="U45" s="74">
        <v>4</v>
      </c>
      <c r="V45" s="74">
        <v>10</v>
      </c>
      <c r="W45" s="74">
        <v>20</v>
      </c>
      <c r="X45" s="74">
        <v>9</v>
      </c>
      <c r="Y45" s="74">
        <v>80</v>
      </c>
      <c r="Z45" s="74">
        <v>320</v>
      </c>
      <c r="AA45" s="74">
        <v>240</v>
      </c>
      <c r="AB45" s="74"/>
    </row>
    <row r="46" spans="1:32">
      <c r="B46" s="74" t="s">
        <v>135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81" t="str">
        <f>ROUND(SUM(J44/J45),2)</f>
        <v>0</v>
      </c>
      <c r="K46" s="81" t="str">
        <f>ROUND(SUM(K44/K45),2)</f>
        <v>0</v>
      </c>
      <c r="L46" s="81" t="str">
        <f>ROUND(SUM(L44/L45),2)</f>
        <v>0</v>
      </c>
      <c r="M46" s="81" t="str">
        <f>ROUND(SUM(M44/M45),2)</f>
        <v>0</v>
      </c>
      <c r="N46" s="81" t="str">
        <f>ROUND(SUM(N44/N45),2)</f>
        <v>0</v>
      </c>
      <c r="O46" s="81" t="str">
        <f>ROUND(SUM(O44/O45),2)</f>
        <v>0</v>
      </c>
      <c r="P46" s="81" t="str">
        <f>ROUND(SUM(P44/P45),2)</f>
        <v>0</v>
      </c>
      <c r="Q46" s="81" t="str">
        <f>ROUND(SUM(Q44/Q45),2)</f>
        <v>0</v>
      </c>
      <c r="R46" s="81" t="str">
        <f>ROUND(SUM(R44/R45),2)</f>
        <v>0</v>
      </c>
      <c r="S46" s="81" t="str">
        <f>ROUND(SUM(S44/S45),2)</f>
        <v>0</v>
      </c>
      <c r="T46" s="81" t="str">
        <f>ROUND(SUM(T44/T45),2)</f>
        <v>0</v>
      </c>
      <c r="U46" s="81" t="str">
        <f>ROUND(SUM(U44/U45),2)</f>
        <v>0</v>
      </c>
      <c r="V46" s="81" t="str">
        <f>ROUND(SUM(V44/V45),2)</f>
        <v>0</v>
      </c>
      <c r="W46" s="81" t="str">
        <f>ROUND(SUM(W44/W45),2)</f>
        <v>0</v>
      </c>
      <c r="X46" s="81" t="str">
        <f>ROUND(SUM(X44/X45),2)</f>
        <v>0</v>
      </c>
      <c r="Y46" s="81" t="str">
        <f>ROUND(SUM(Y44/Y45),2)</f>
        <v>0</v>
      </c>
      <c r="Z46" s="81" t="str">
        <f>ROUND(SUM(Z44/Z45),2)</f>
        <v>0</v>
      </c>
      <c r="AA46" s="81" t="str">
        <f>ROUND(SUM(AA44/AA45),2)</f>
        <v>0</v>
      </c>
      <c r="AB46" s="74"/>
    </row>
    <row r="47" spans="1:32">
      <c r="B47" s="74" t="s">
        <v>136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85" t="str">
        <f>ROUND(J46*3.7,2)</f>
        <v>0</v>
      </c>
      <c r="K47" s="85" t="str">
        <f>ROUND(K46*3.7,2)</f>
        <v>0</v>
      </c>
      <c r="L47" s="85" t="str">
        <f>ROUND(L46*3.7,2)</f>
        <v>0</v>
      </c>
      <c r="M47" s="85" t="str">
        <f>ROUND(M46*3.7,2)</f>
        <v>0</v>
      </c>
      <c r="N47" s="85" t="str">
        <f>ROUND(N46*3.7,2)</f>
        <v>0</v>
      </c>
      <c r="O47" s="85" t="str">
        <f>ROUND(O46*3.7,2)</f>
        <v>0</v>
      </c>
      <c r="P47" s="85" t="str">
        <f>ROUND(P46*3.7,2)</f>
        <v>0</v>
      </c>
      <c r="Q47" s="85" t="str">
        <f>ROUND(Q46*3.7,2)</f>
        <v>0</v>
      </c>
      <c r="R47" s="85" t="str">
        <f>ROUND(R46*3.7,2)</f>
        <v>0</v>
      </c>
      <c r="S47" s="85" t="str">
        <f>ROUND(S46*3.7,2)</f>
        <v>0</v>
      </c>
      <c r="T47" s="85" t="str">
        <f>ROUND(T46*3.7,2)</f>
        <v>0</v>
      </c>
      <c r="U47" s="85" t="str">
        <f>ROUND(U46*3.7,2)</f>
        <v>0</v>
      </c>
      <c r="V47" s="85" t="str">
        <f>ROUND(V46*3.7,2)</f>
        <v>0</v>
      </c>
      <c r="W47" s="85" t="str">
        <f>ROUND(W46*3.7,2)</f>
        <v>0</v>
      </c>
      <c r="X47" s="85" t="str">
        <f>ROUND(X46*3.7,2)</f>
        <v>0</v>
      </c>
      <c r="Y47" s="85" t="str">
        <f>ROUND(Y46*3.7,2)</f>
        <v>0</v>
      </c>
      <c r="Z47" s="85" t="str">
        <f>ROUND(Z46*3.7,2)</f>
        <v>0</v>
      </c>
      <c r="AA47" s="85" t="str">
        <f>ROUND(AA46*3.7,2)</f>
        <v>0</v>
      </c>
      <c r="AB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