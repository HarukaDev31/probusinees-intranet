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quipo 043\Downloads\"/>
    </mc:Choice>
  </mc:AlternateContent>
  <xr:revisionPtr revIDLastSave="0" documentId="13_ncr:1_{DDF9C5BC-101C-4163-81B1-859EC2B04F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2" r:id="rId1"/>
    <sheet name="2" sheetId="1" r:id="rId2"/>
  </sheets>
  <definedNames>
    <definedName name="_xlnm.Print_Area" localSheetId="0">'1'!$A$1:$K$109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1" l="1"/>
  <c r="E38" i="1"/>
  <c r="E35" i="1"/>
  <c r="E36" i="1"/>
  <c r="D52" i="1"/>
  <c r="D53" i="1"/>
  <c r="D54" i="1" s="1"/>
  <c r="D51" i="1"/>
  <c r="D44" i="1"/>
  <c r="D45" i="1"/>
  <c r="D35" i="1"/>
  <c r="D37" i="1" s="1"/>
  <c r="D36" i="1"/>
  <c r="E25" i="1"/>
  <c r="E23" i="1"/>
  <c r="E24" i="1"/>
  <c r="E22" i="1"/>
  <c r="E18" i="1"/>
  <c r="E17" i="1"/>
  <c r="E6" i="1"/>
  <c r="I9" i="2" s="1"/>
  <c r="D15" i="1"/>
  <c r="D18" i="1"/>
  <c r="D19" i="1"/>
  <c r="E8" i="1"/>
  <c r="I11" i="2" s="1"/>
  <c r="C15" i="1"/>
  <c r="E4" i="1"/>
  <c r="E5" i="1"/>
  <c r="I8" i="2" s="1"/>
  <c r="D38" i="1" l="1"/>
  <c r="D20" i="1"/>
  <c r="D21" i="1"/>
  <c r="D22" i="1" s="1"/>
  <c r="S11" i="2" a="1"/>
  <c r="S11" i="2" s="1"/>
  <c r="M22" i="1"/>
  <c r="E14" i="1"/>
  <c r="C19" i="1"/>
  <c r="C18" i="1"/>
  <c r="C31" i="1"/>
  <c r="E9" i="2"/>
  <c r="F37" i="2"/>
  <c r="O37" i="2" s="1"/>
  <c r="B37" i="2"/>
  <c r="N37" i="2" s="1"/>
  <c r="E13" i="1"/>
  <c r="E12" i="1"/>
  <c r="D23" i="1" l="1"/>
  <c r="S13" i="2"/>
  <c r="T13" i="2" s="1"/>
  <c r="S10" i="2" a="1"/>
  <c r="S10" i="2" s="1"/>
  <c r="T10" i="2" s="1"/>
  <c r="S14" i="2"/>
  <c r="S16" i="2" l="1"/>
  <c r="N19" i="1" l="1"/>
  <c r="L18" i="1"/>
  <c r="L19" i="1"/>
  <c r="L20" i="1"/>
  <c r="L21" i="1"/>
  <c r="L22" i="1"/>
  <c r="L17" i="1"/>
  <c r="S12" i="2"/>
  <c r="M19" i="1" s="1"/>
  <c r="H16" i="1"/>
  <c r="N17" i="1"/>
  <c r="T11" i="2"/>
  <c r="N18" i="1" s="1"/>
  <c r="T14" i="2" l="1"/>
  <c r="N21" i="1" s="1"/>
  <c r="M20" i="1"/>
  <c r="M21" i="1"/>
  <c r="O21" i="1" s="1"/>
  <c r="O19" i="1"/>
  <c r="M18" i="1"/>
  <c r="M17" i="1"/>
  <c r="E21" i="1" s="1"/>
  <c r="I23" i="2"/>
  <c r="I20" i="2"/>
  <c r="C52" i="1"/>
  <c r="E37" i="2" s="1"/>
  <c r="C50" i="1"/>
  <c r="T16" i="2" l="1"/>
  <c r="E38" i="2"/>
  <c r="E45" i="1"/>
  <c r="N20" i="1"/>
  <c r="O17" i="1"/>
  <c r="O18" i="1"/>
  <c r="O20" i="1"/>
  <c r="E31" i="1"/>
  <c r="J23" i="2" s="1"/>
  <c r="E19" i="1"/>
  <c r="J31" i="2" l="1"/>
  <c r="C20" i="1"/>
  <c r="O41" i="2" l="1"/>
  <c r="N21" i="2"/>
  <c r="C44" i="1"/>
  <c r="C21" i="1"/>
  <c r="C23" i="1" l="1"/>
  <c r="C22" i="1"/>
  <c r="J14" i="2"/>
  <c r="J30" i="2" s="1"/>
  <c r="C45" i="1" l="1"/>
  <c r="C26" i="1"/>
  <c r="J16" i="2"/>
  <c r="J15" i="2"/>
  <c r="D24" i="1"/>
  <c r="D25" i="1" s="1"/>
  <c r="C24" i="1"/>
  <c r="C25" i="1"/>
  <c r="E26" i="1" l="1"/>
  <c r="C34" i="1"/>
  <c r="C35" i="1"/>
  <c r="J21" i="2" s="1"/>
  <c r="E34" i="1" l="1"/>
  <c r="J20" i="2" s="1"/>
  <c r="C36" i="1"/>
  <c r="J22" i="2" l="1"/>
  <c r="J24" i="2" s="1"/>
  <c r="C37" i="1"/>
  <c r="J26" i="2" s="1"/>
  <c r="C38" i="1"/>
  <c r="J27" i="2" l="1"/>
  <c r="J32" i="2" s="1"/>
  <c r="C51" i="1"/>
  <c r="O42" i="2"/>
  <c r="O44" i="2" s="1"/>
  <c r="J33" i="2"/>
  <c r="C53" i="1" l="1"/>
  <c r="E51" i="1"/>
  <c r="C54" i="1" l="1"/>
  <c r="H37" i="2"/>
  <c r="P37" i="2" l="1"/>
  <c r="Q37" i="2" s="1"/>
  <c r="J37" i="2"/>
  <c r="I37" i="2"/>
  <c r="I3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E21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80% del de detalle de carga</t>
        </r>
      </text>
    </comment>
    <comment ref="B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&gt;$5000 
Seguro 100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<sst xmlns="http://schemas.openxmlformats.org/spreadsheetml/2006/main" count="194" uniqueCount="145">
  <si>
    <t>VALOR UNITARIO</t>
  </si>
  <si>
    <t>CANTIDAD</t>
  </si>
  <si>
    <t>VALOR FOB</t>
  </si>
  <si>
    <t>DISTRIBUCIÓN %</t>
  </si>
  <si>
    <t>FLETE</t>
  </si>
  <si>
    <t>VALOR CFR</t>
  </si>
  <si>
    <t>SEGURO</t>
  </si>
  <si>
    <t>VALOR CIF</t>
  </si>
  <si>
    <t>TOTAL</t>
  </si>
  <si>
    <t>AD VALOREM</t>
  </si>
  <si>
    <t>PERCEPCIÓN 3.5%</t>
  </si>
  <si>
    <t>TRIBUTOS APLICABLES</t>
  </si>
  <si>
    <t>CALCULOS DE TRIBUTOS</t>
  </si>
  <si>
    <t>IGV       16%</t>
  </si>
  <si>
    <t>IPM       2%</t>
  </si>
  <si>
    <t>ITEM</t>
  </si>
  <si>
    <t>COSTOS DESTINOS</t>
  </si>
  <si>
    <t>COSTO TOTAL DE IMPORTACIÓN</t>
  </si>
  <si>
    <t>COSTO UNITARIO</t>
  </si>
  <si>
    <t>COSTO TOTAL</t>
  </si>
  <si>
    <t>COSTO SOLES</t>
  </si>
  <si>
    <t>TC</t>
  </si>
  <si>
    <t>CLIENTE:</t>
  </si>
  <si>
    <t>TELEFONO:</t>
  </si>
  <si>
    <t>SERVICIO:</t>
  </si>
  <si>
    <t>CARGA CONSOLIDADA</t>
  </si>
  <si>
    <t>ORIGEN:</t>
  </si>
  <si>
    <t>CHINA</t>
  </si>
  <si>
    <t>VOLUMEN:</t>
  </si>
  <si>
    <t>PESO:</t>
  </si>
  <si>
    <t>N° CAJAS:</t>
  </si>
  <si>
    <t>CALCULO DE BASE IMPONIBLE</t>
  </si>
  <si>
    <t>FLETE INTERNACIONAL + SEGURO</t>
  </si>
  <si>
    <t>MONEDA</t>
  </si>
  <si>
    <t>MONTO</t>
  </si>
  <si>
    <t>USD</t>
  </si>
  <si>
    <t>VALOR DE CARGA</t>
  </si>
  <si>
    <t>ADVALOREM</t>
  </si>
  <si>
    <t>IGV</t>
  </si>
  <si>
    <t>IPM</t>
  </si>
  <si>
    <t>ANTIDUMPING</t>
  </si>
  <si>
    <t>PERCEPCIÓN</t>
  </si>
  <si>
    <t>%</t>
  </si>
  <si>
    <t>SUB TOTAL</t>
  </si>
  <si>
    <t>IMPUESTOS</t>
  </si>
  <si>
    <t>TÉRMINOS Y CONDICIONES:</t>
  </si>
  <si>
    <t># ITEM</t>
  </si>
  <si>
    <t xml:space="preserve">1. Todos los pagos se realizan en dólares. </t>
  </si>
  <si>
    <t>3. No somos responsables de retraso del proveedor para entregar la carga.</t>
  </si>
  <si>
    <t>5.Los pagos realizados fuera de fecha están sujetos a un recargo de S/.30 por día.</t>
  </si>
  <si>
    <t>9.No hay opción de reembolso.</t>
  </si>
  <si>
    <t>6.Se procederá a cobrar S/.30 x día de almacenaje si el cliente no recoge su pedido en el plazo acordado.</t>
  </si>
  <si>
    <t>se procederá a realizar las acciones legales del caso.</t>
  </si>
  <si>
    <t>NOTAS:</t>
  </si>
  <si>
    <t>TARIFA</t>
  </si>
  <si>
    <t xml:space="preserve"> No se aceptan marcas con medidas  de frontera. </t>
  </si>
  <si>
    <t>2.Todas las marcas de los productos deben ser verificadas por el cliente,</t>
  </si>
  <si>
    <t>En caso contrario, asumirá el costo de  almacenaje $30 y será embarcado en la próxima salida.</t>
  </si>
  <si>
    <t>4. La carga deberá llegar al almacén –Yiwu en el rango de fecha indicado por su asesor.</t>
  </si>
  <si>
    <t>7.Los envíos a provincia se realizan a través de la agencia Marvisur o Shalom, con previo pago de flete interno.</t>
  </si>
  <si>
    <t>Costo: desde s/20.00</t>
  </si>
  <si>
    <t>coordinador  logístico la tarifa.</t>
  </si>
  <si>
    <t>8. Las cargas mayores a 200 kg x bulto tendrán un costo adicional por manipuleo, consultar con el</t>
  </si>
  <si>
    <t>11. El costo por metro cubico incluye: Flete – Ag. Aduana – Costos en destino.</t>
  </si>
  <si>
    <r>
      <t>13.</t>
    </r>
    <r>
      <rPr>
        <sz val="7"/>
        <color theme="1"/>
        <rFont val="Calibri Light"/>
        <family val="2"/>
        <scheme val="major"/>
      </rPr>
      <t xml:space="preserve"> </t>
    </r>
    <r>
      <rPr>
        <sz val="11"/>
        <color theme="1"/>
        <rFont val="Calibri Light"/>
        <family val="2"/>
        <scheme val="major"/>
      </rPr>
      <t>Los documentos de importación deber ser entregados a tiempo, de lo contrario, el participante no tendrá opción</t>
    </r>
  </si>
  <si>
    <t xml:space="preserve">14.En caso el cliente esté importando una carga que no sea legal y la empresa Pro Business se vea perjudicada, 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</si>
  <si>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</si>
  <si>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</si>
  <si>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</si>
  <si>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</si>
  <si>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VALOR ZAPATILLAS</t>
  </si>
  <si>
    <t>CFR CALZADO</t>
  </si>
  <si>
    <t>CIF CALZADO</t>
  </si>
  <si>
    <t>MEDIDA</t>
  </si>
  <si>
    <t>3.5%</t>
  </si>
  <si>
    <t>PRECIO U.</t>
  </si>
  <si>
    <t>PRECIO UNIT. (SOLES)</t>
  </si>
  <si>
    <t>NOMBRE PRODUCTO</t>
  </si>
  <si>
    <t>COSTO UNI.</t>
  </si>
  <si>
    <t>NOMBRE:</t>
  </si>
  <si>
    <t>TIPO DE CLIENTE</t>
  </si>
  <si>
    <t>ANTIGUO</t>
  </si>
  <si>
    <t>NUEVO</t>
  </si>
  <si>
    <t>20.Las mercancías son declaradas a nombre de la empresa Grupo Pro Business.</t>
  </si>
  <si>
    <t>21.Se emitirá comprobante (boleta o Factura) de su importación en base a la estrategia de declaración realizada.</t>
  </si>
  <si>
    <t>PILOTO</t>
  </si>
  <si>
    <t>SOCIO</t>
  </si>
  <si>
    <t>DISTRIBUCIÓN</t>
  </si>
  <si>
    <t>TOTAL CBM</t>
  </si>
  <si>
    <t>MANUAL</t>
  </si>
  <si>
    <t>NOMBRE</t>
  </si>
  <si>
    <t>Tarifa</t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</si>
  <si>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>Las fechas brindadas son estimadas, estan sujetas a variación.</t>
    </r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</si>
  <si>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>No se emite comprobante por concepto de "PERCEPCIÓN, ANTI DUMPING, GESTIÓN DE COMPRA"</t>
    </r>
  </si>
  <si>
    <t>llegue al puerto del Callao.</t>
  </si>
  <si>
    <t>PESO (KG)</t>
  </si>
  <si>
    <t>CANTIDAD CAJONES</t>
  </si>
  <si>
    <t>VALOR DE CARGA (PAGO AL PROVEEDOR)</t>
  </si>
  <si>
    <t>RESUMEN DE COTIZACIÓN</t>
  </si>
  <si>
    <t>MONTO TOTAL</t>
  </si>
  <si>
    <t>SERVICIO DE IMPORTACIÓN  (ORIGEN -FLETE - DESTINO)</t>
  </si>
  <si>
    <t>CALCULO DE TRIBUTOS</t>
  </si>
  <si>
    <t>SIMULACIÓN DEL PRECIO PUESTO EN PERÚ POR PIEZA</t>
  </si>
  <si>
    <t>FECHA:</t>
  </si>
  <si>
    <t>0-0.59</t>
  </si>
  <si>
    <t>0.59-1</t>
  </si>
  <si>
    <t>1-2.09</t>
  </si>
  <si>
    <t>2.1-3.1</t>
  </si>
  <si>
    <t>3.1-4.1</t>
  </si>
  <si>
    <t>4.1- +</t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</si>
  <si>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>El tipo de cambio referencial usado para la conversión a soles es del 3.80</t>
    </r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</si>
  <si>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 xml:space="preserve">A nosotros se nos pagan el </t>
    </r>
    <r>
      <rPr>
        <b/>
        <sz val="14"/>
        <color theme="1"/>
        <rFont val="Calibri Light"/>
        <family val="2"/>
        <scheme val="major"/>
      </rPr>
      <t>Servicio de Importación + Impuestos</t>
    </r>
    <r>
      <rPr>
        <sz val="14"/>
        <color theme="1"/>
        <rFont val="Calibri Light"/>
        <family val="2"/>
        <scheme val="major"/>
      </rPr>
      <t xml:space="preserve"> una semana antes de que el contenedor</t>
    </r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</si>
  <si>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 xml:space="preserve">El cálculo de Impuestos puede variar por parte de </t>
    </r>
    <r>
      <rPr>
        <b/>
        <sz val="14"/>
        <color theme="1"/>
        <rFont val="Calibri Light"/>
        <family val="2"/>
        <scheme val="major"/>
      </rPr>
      <t>Aduanas</t>
    </r>
    <r>
      <rPr>
        <sz val="14"/>
        <color theme="1"/>
        <rFont val="Calibri Light"/>
        <family val="2"/>
        <scheme val="major"/>
      </rPr>
      <t>.</t>
    </r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</si>
  <si>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 xml:space="preserve">Si la carga ocupa más volumen de lo cotizado, se le tendrá que </t>
    </r>
    <r>
      <rPr>
        <b/>
        <sz val="14"/>
        <color theme="1"/>
        <rFont val="Calibri Light"/>
        <family val="2"/>
        <scheme val="major"/>
      </rPr>
      <t>actualizar</t>
    </r>
    <r>
      <rPr>
        <sz val="14"/>
        <color theme="1"/>
        <rFont val="Calibri Light"/>
        <family val="2"/>
        <scheme val="major"/>
      </rPr>
      <t xml:space="preserve"> su cotización.</t>
    </r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</si>
  <si>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>Habrá un costo extra del servicio del *monta cargas* en Lima (aplica para los Pallets)</t>
    </r>
  </si>
  <si>
    <t>CORREO:</t>
  </si>
  <si>
    <t>DNI/RUC:</t>
  </si>
  <si>
    <t>COTIZACION Nº20240000001</t>
  </si>
  <si>
    <t>VALOR CHINA USD</t>
  </si>
  <si>
    <t>VALOR PERU USD</t>
  </si>
  <si>
    <t>VALOR PERU SOLES</t>
  </si>
  <si>
    <t>RESUMEN DE PAGOS DE SERVICIO DE IMPORTACIÓN</t>
  </si>
  <si>
    <t>RESUMEN DE COSTOS UNITARIOS</t>
  </si>
  <si>
    <t>PRIMER PAGO</t>
  </si>
  <si>
    <t>SEGUNDO PAGO</t>
  </si>
  <si>
    <t>Servicio de Consolidado antes del Zarpe 23/12</t>
  </si>
  <si>
    <t>Pago de Impuestos antes del Arribo 15/02</t>
  </si>
  <si>
    <t>Incluye Valor de Carga + Servicio de Consolidado + Pago de Impuestos</t>
  </si>
  <si>
    <t>INVERSION TOTAL</t>
  </si>
  <si>
    <t>FECHAS:</t>
  </si>
  <si>
    <t>12.No se aceptan productos restringido que no cuenten con permiso.</t>
  </si>
  <si>
    <t>de acogerse a un beneficio arancelario (C.O) o pueda tener perdida en aduanas por informacion incompleta.</t>
  </si>
  <si>
    <t>19.La fecha de entrega es aproximada, está sujeto a variaciones de linea naviera o aduanas.</t>
  </si>
  <si>
    <t>10. Si el cliente quiere cambiar la salida de su carga debera informar 4 día antes de la fecha de cierre.</t>
  </si>
  <si>
    <t>22. El cliente tendra un plazo de 24 horas despues de la entrega para presentar algun tipo de reclamo.</t>
  </si>
  <si>
    <t>23. La factura o boleta se emitirá con base al valor CIF de la cotización final.</t>
  </si>
  <si>
    <t>24. Concepto no facturable: Advalorem, Percepción, Anti-Dumping o Gestión de Compra</t>
  </si>
  <si>
    <t>N PROVEEDOR</t>
  </si>
  <si>
    <t>VOL.  X PROVEEDOR</t>
  </si>
  <si>
    <t>TOTALES</t>
  </si>
  <si>
    <t>Productos variados</t>
  </si>
  <si>
    <t>BRYAN RUIZ</t>
  </si>
  <si>
    <t>bryanruizbellido@gmail.com</t>
  </si>
  <si>
    <t>51934958839</t>
  </si>
  <si>
    <t>BR04-1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</si>
</sst>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_-&quot;S/&quot;* #,##0.00_-;\-&quot;S/&quot;* #,##0.00_-;_-&quot;S/&quot;* &quot;-&quot;??_-;_-@_-"/>
    <numFmt numFmtId="165" formatCode="_-[$$-409]* #,##0.00_ ;_-[$$-409]* \-#,##0.00\ ;_-[$$-409]* &quot;-&quot;??_ ;_-@_ "/>
    <numFmt numFmtId="166" formatCode="_-[$$-409]* #,##0.000_ ;_-[$$-409]* \-#,##0.000\ ;_-[$$-409]* &quot;-&quot;??_ ;_-@_ "/>
    <numFmt numFmtId="167" formatCode="[$$-409]#,##0"/>
    <numFmt numFmtId="168" formatCode="_-[$$-540A]* #,##0.00_ ;_-[$$-540A]* \-#,##0.00\ ;_-[$$-540A]* &quot;-&quot;??_ ;_-@_ "/>
    <numFmt numFmtId="169" formatCode="0.00\ &quot;cm&quot;"/>
    <numFmt numFmtId="170" formatCode="#,##0.000\ &quot;m3&quot;"/>
    <numFmt numFmtId="171" formatCode="0.0\ &quot;cm&quot;"/>
    <numFmt numFmtId="172" formatCode="0.0\ &quot;kg&quot;"/>
    <numFmt numFmtId="173" formatCode="_-[$S/-280A]\ * #,##0.00_-;\-[$S/-280A]\ * #,##0.00_-;_-[$S/-280A]\ * &quot;-&quot;??_-;_-@_-"/>
    <numFmt numFmtId="174" formatCode="_-[$$-409]* #,##0.0_ ;_-[$$-409]* \-#,##0.0\ ;_-[$$-409]* &quot;-&quot;??_ ;_-@_ "/>
    <numFmt numFmtId="175" formatCode="_-[$$-540A]* #,##0.000_ ;_-[$$-540A]* \-#,##0.000\ ;_-[$$-540A]* &quot;-&quot;???_ ;_-@_ "/>
    <numFmt numFmtId="176" formatCode="0.00\ &quot;x UC&quot;"/>
    <numFmt numFmtId="177" formatCode="_-[$$-409]* #,##0.000_ ;_-[$$-409]* \-#,##0.000\ ;_-[$$-409]* &quot;-&quot;???_ ;_-@_ "/>
    <numFmt numFmtId="178" formatCode="[$$-540A]#,##0.00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新細明體"/>
      <family val="1"/>
      <charset val="136"/>
    </font>
    <font>
      <sz val="12"/>
      <name val="宋体"/>
      <charset val="134"/>
    </font>
    <font>
      <sz val="11"/>
      <color theme="0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sz val="11"/>
      <color theme="0"/>
      <name val="Calibri Light"/>
      <family val="2"/>
      <scheme val="major"/>
    </font>
    <font>
      <sz val="8"/>
      <color theme="1"/>
      <name val="Calibri"/>
      <family val="2"/>
      <scheme val="minor"/>
    </font>
    <font>
      <sz val="7"/>
      <color theme="1"/>
      <name val="Calibri Light"/>
      <family val="2"/>
      <scheme val="maj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Arial"/>
      <family val="2"/>
    </font>
    <font>
      <sz val="12"/>
      <color theme="0"/>
      <name val="Arial"/>
      <family val="2"/>
    </font>
    <font>
      <sz val="11"/>
      <color rgb="FF000000"/>
      <name val="Calibri"/>
      <family val="2"/>
    </font>
    <font>
      <b/>
      <u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3"/>
      <color theme="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0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E37C1A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1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 applyNumberFormat="0" applyFill="0" applyBorder="0" applyAlignment="0" applyProtection="0"/>
  </cellStyleXfs>
  <cellXfs count="18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5" fontId="0" fillId="2" borderId="0" xfId="0" applyNumberFormat="1" applyFill="1"/>
    <xf numFmtId="165" fontId="0" fillId="2" borderId="0" xfId="0" applyNumberFormat="1" applyFill="1" applyAlignment="1">
      <alignment horizontal="center"/>
    </xf>
    <xf numFmtId="0" fontId="0" fillId="2" borderId="1" xfId="0" applyFill="1" applyBorder="1"/>
    <xf numFmtId="165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9" fontId="0" fillId="2" borderId="1" xfId="2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9" fontId="3" fillId="2" borderId="1" xfId="0" applyNumberFormat="1" applyFont="1" applyFill="1" applyBorder="1" applyAlignment="1">
      <alignment horizontal="center"/>
    </xf>
    <xf numFmtId="0" fontId="2" fillId="2" borderId="0" xfId="0" applyFont="1" applyFill="1"/>
    <xf numFmtId="165" fontId="2" fillId="2" borderId="1" xfId="0" applyNumberFormat="1" applyFont="1" applyFill="1" applyBorder="1" applyAlignment="1">
      <alignment horizontal="center"/>
    </xf>
    <xf numFmtId="0" fontId="2" fillId="0" borderId="0" xfId="0" applyFont="1"/>
    <xf numFmtId="165" fontId="2" fillId="2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3" borderId="1" xfId="0" applyFont="1" applyFill="1" applyBorder="1"/>
    <xf numFmtId="165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5" fontId="1" fillId="3" borderId="1" xfId="1" applyNumberFormat="1" applyFont="1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0" fontId="0" fillId="3" borderId="1" xfId="0" applyFill="1" applyBorder="1"/>
    <xf numFmtId="165" fontId="0" fillId="3" borderId="1" xfId="0" applyNumberFormat="1" applyFill="1" applyBorder="1" applyAlignment="1">
      <alignment horizontal="center"/>
    </xf>
    <xf numFmtId="0" fontId="0" fillId="3" borderId="0" xfId="0" applyFill="1"/>
    <xf numFmtId="0" fontId="0" fillId="2" borderId="1" xfId="3" applyNumberFormat="1" applyFont="1" applyFill="1" applyBorder="1" applyAlignment="1">
      <alignment horizontal="center"/>
    </xf>
    <xf numFmtId="164" fontId="0" fillId="2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0" fillId="4" borderId="1" xfId="0" applyFill="1" applyBorder="1"/>
    <xf numFmtId="165" fontId="0" fillId="4" borderId="1" xfId="0" applyNumberFormat="1" applyFill="1" applyBorder="1" applyAlignment="1">
      <alignment horizontal="center"/>
    </xf>
    <xf numFmtId="9" fontId="0" fillId="2" borderId="0" xfId="0" applyNumberFormat="1" applyFill="1"/>
    <xf numFmtId="0" fontId="10" fillId="2" borderId="0" xfId="0" applyFont="1" applyFill="1"/>
    <xf numFmtId="0" fontId="11" fillId="2" borderId="0" xfId="0" applyFont="1" applyFill="1" applyAlignment="1">
      <alignment horizontal="center"/>
    </xf>
    <xf numFmtId="0" fontId="12" fillId="2" borderId="0" xfId="0" applyFont="1" applyFill="1"/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left"/>
    </xf>
    <xf numFmtId="0" fontId="14" fillId="5" borderId="0" xfId="0" applyFont="1" applyFill="1" applyAlignment="1">
      <alignment horizontal="center"/>
    </xf>
    <xf numFmtId="167" fontId="10" fillId="2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10" fillId="2" borderId="2" xfId="0" applyFont="1" applyFill="1" applyBorder="1" applyAlignment="1">
      <alignment horizontal="center"/>
    </xf>
    <xf numFmtId="0" fontId="15" fillId="2" borderId="0" xfId="0" applyFont="1" applyFill="1"/>
    <xf numFmtId="0" fontId="3" fillId="2" borderId="0" xfId="0" applyFont="1" applyFill="1"/>
    <xf numFmtId="0" fontId="17" fillId="2" borderId="0" xfId="0" applyFont="1" applyFill="1"/>
    <xf numFmtId="0" fontId="3" fillId="2" borderId="0" xfId="0" applyFont="1" applyFill="1" applyAlignment="1">
      <alignment horizontal="center"/>
    </xf>
    <xf numFmtId="0" fontId="18" fillId="2" borderId="0" xfId="0" applyFont="1" applyFill="1" applyAlignment="1">
      <alignment vertical="center"/>
    </xf>
    <xf numFmtId="168" fontId="10" fillId="2" borderId="0" xfId="0" applyNumberFormat="1" applyFont="1" applyFill="1" applyAlignment="1">
      <alignment horizontal="center"/>
    </xf>
    <xf numFmtId="168" fontId="10" fillId="2" borderId="2" xfId="0" applyNumberFormat="1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165" fontId="0" fillId="2" borderId="1" xfId="0" applyNumberFormat="1" applyFill="1" applyBorder="1"/>
    <xf numFmtId="0" fontId="0" fillId="2" borderId="0" xfId="0" applyFill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0" fillId="2" borderId="3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8" fontId="3" fillId="2" borderId="1" xfId="0" applyNumberFormat="1" applyFont="1" applyFill="1" applyBorder="1" applyAlignment="1">
      <alignment horizontal="center"/>
    </xf>
    <xf numFmtId="0" fontId="0" fillId="6" borderId="1" xfId="0" applyFill="1" applyBorder="1"/>
    <xf numFmtId="166" fontId="0" fillId="6" borderId="1" xfId="0" applyNumberFormat="1" applyFill="1" applyBorder="1" applyAlignment="1">
      <alignment horizontal="center"/>
    </xf>
    <xf numFmtId="0" fontId="3" fillId="6" borderId="1" xfId="0" applyFont="1" applyFill="1" applyBorder="1"/>
    <xf numFmtId="165" fontId="3" fillId="6" borderId="1" xfId="0" applyNumberFormat="1" applyFont="1" applyFill="1" applyBorder="1" applyAlignment="1">
      <alignment horizontal="center"/>
    </xf>
    <xf numFmtId="0" fontId="14" fillId="5" borderId="0" xfId="0" applyFont="1" applyFill="1" applyAlignment="1">
      <alignment horizontal="left"/>
    </xf>
    <xf numFmtId="0" fontId="10" fillId="2" borderId="1" xfId="0" applyFont="1" applyFill="1" applyBorder="1" applyAlignment="1">
      <alignment horizontal="center"/>
    </xf>
    <xf numFmtId="169" fontId="0" fillId="2" borderId="0" xfId="0" applyNumberFormat="1" applyFill="1" applyAlignment="1">
      <alignment horizontal="center"/>
    </xf>
    <xf numFmtId="0" fontId="14" fillId="5" borderId="0" xfId="0" applyFont="1" applyFill="1"/>
    <xf numFmtId="9" fontId="0" fillId="2" borderId="0" xfId="0" applyNumberForma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0" fillId="2" borderId="0" xfId="0" applyFont="1" applyFill="1" applyAlignment="1">
      <alignment horizontal="center"/>
    </xf>
    <xf numFmtId="0" fontId="12" fillId="2" borderId="8" xfId="0" applyFont="1" applyFill="1" applyBorder="1"/>
    <xf numFmtId="0" fontId="10" fillId="2" borderId="7" xfId="0" applyFont="1" applyFill="1" applyBorder="1"/>
    <xf numFmtId="0" fontId="10" fillId="2" borderId="9" xfId="0" applyFont="1" applyFill="1" applyBorder="1"/>
    <xf numFmtId="0" fontId="12" fillId="2" borderId="10" xfId="0" applyFont="1" applyFill="1" applyBorder="1"/>
    <xf numFmtId="0" fontId="12" fillId="2" borderId="12" xfId="0" applyFont="1" applyFill="1" applyBorder="1"/>
    <xf numFmtId="0" fontId="10" fillId="2" borderId="13" xfId="0" applyFont="1" applyFill="1" applyBorder="1"/>
    <xf numFmtId="0" fontId="12" fillId="0" borderId="0" xfId="0" applyFont="1"/>
    <xf numFmtId="0" fontId="0" fillId="2" borderId="4" xfId="0" applyFill="1" applyBorder="1" applyAlignment="1">
      <alignment horizontal="center"/>
    </xf>
    <xf numFmtId="165" fontId="0" fillId="2" borderId="6" xfId="0" applyNumberFormat="1" applyFill="1" applyBorder="1"/>
    <xf numFmtId="174" fontId="20" fillId="2" borderId="7" xfId="0" applyNumberFormat="1" applyFont="1" applyFill="1" applyBorder="1"/>
    <xf numFmtId="0" fontId="3" fillId="2" borderId="0" xfId="0" applyFont="1" applyFill="1" applyAlignment="1">
      <alignment horizontal="right"/>
    </xf>
    <xf numFmtId="2" fontId="20" fillId="2" borderId="0" xfId="0" applyNumberFormat="1" applyFont="1" applyFill="1" applyAlignment="1">
      <alignment horizontal="left"/>
    </xf>
    <xf numFmtId="0" fontId="0" fillId="2" borderId="11" xfId="0" applyFill="1" applyBorder="1"/>
    <xf numFmtId="0" fontId="3" fillId="2" borderId="10" xfId="0" applyFont="1" applyFill="1" applyBorder="1"/>
    <xf numFmtId="175" fontId="0" fillId="2" borderId="0" xfId="0" applyNumberFormat="1" applyFill="1"/>
    <xf numFmtId="176" fontId="0" fillId="2" borderId="2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/>
    <xf numFmtId="0" fontId="0" fillId="2" borderId="0" xfId="0" applyFill="1" applyAlignment="1">
      <alignment vertical="center"/>
    </xf>
    <xf numFmtId="178" fontId="0" fillId="2" borderId="1" xfId="0" applyNumberForma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9" fontId="0" fillId="2" borderId="0" xfId="2" applyFont="1" applyFill="1"/>
    <xf numFmtId="0" fontId="0" fillId="2" borderId="10" xfId="0" applyFill="1" applyBorder="1" applyAlignment="1">
      <alignment horizontal="center"/>
    </xf>
    <xf numFmtId="1" fontId="9" fillId="2" borderId="0" xfId="0" applyNumberFormat="1" applyFont="1" applyFill="1"/>
    <xf numFmtId="0" fontId="13" fillId="7" borderId="0" xfId="0" applyFont="1" applyFill="1" applyAlignment="1">
      <alignment horizontal="left"/>
    </xf>
    <xf numFmtId="0" fontId="9" fillId="7" borderId="0" xfId="0" applyFont="1" applyFill="1" applyAlignment="1">
      <alignment horizontal="center"/>
    </xf>
    <xf numFmtId="171" fontId="10" fillId="8" borderId="0" xfId="0" applyNumberFormat="1" applyFont="1" applyFill="1" applyAlignment="1">
      <alignment horizontal="center"/>
    </xf>
    <xf numFmtId="0" fontId="24" fillId="2" borderId="0" xfId="0" applyFont="1" applyFill="1"/>
    <xf numFmtId="0" fontId="25" fillId="2" borderId="0" xfId="0" applyFont="1" applyFill="1"/>
    <xf numFmtId="174" fontId="20" fillId="2" borderId="0" xfId="0" applyNumberFormat="1" applyFont="1" applyFill="1"/>
    <xf numFmtId="0" fontId="0" fillId="4" borderId="14" xfId="0" applyFill="1" applyBorder="1"/>
    <xf numFmtId="166" fontId="0" fillId="2" borderId="14" xfId="0" applyNumberFormat="1" applyFill="1" applyBorder="1" applyAlignment="1">
      <alignment horizontal="center"/>
    </xf>
    <xf numFmtId="170" fontId="10" fillId="2" borderId="1" xfId="0" applyNumberFormat="1" applyFont="1" applyFill="1" applyBorder="1" applyAlignment="1">
      <alignment horizontal="center"/>
    </xf>
    <xf numFmtId="172" fontId="10" fillId="2" borderId="1" xfId="0" applyNumberFormat="1" applyFont="1" applyFill="1" applyBorder="1" applyAlignment="1">
      <alignment horizontal="center"/>
    </xf>
    <xf numFmtId="170" fontId="10" fillId="6" borderId="1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72" fontId="10" fillId="9" borderId="1" xfId="0" applyNumberFormat="1" applyFont="1" applyFill="1" applyBorder="1" applyAlignment="1">
      <alignment horizontal="center"/>
    </xf>
    <xf numFmtId="0" fontId="27" fillId="10" borderId="1" xfId="0" applyFont="1" applyFill="1" applyBorder="1" applyAlignment="1">
      <alignment horizontal="center"/>
    </xf>
    <xf numFmtId="0" fontId="3" fillId="3" borderId="0" xfId="0" applyFont="1" applyFill="1"/>
    <xf numFmtId="0" fontId="0" fillId="2" borderId="6" xfId="0" applyFill="1" applyBorder="1" applyAlignment="1">
      <alignment horizontal="center"/>
    </xf>
    <xf numFmtId="0" fontId="27" fillId="1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5" fontId="0" fillId="2" borderId="6" xfId="0" applyNumberFormat="1" applyFill="1" applyBorder="1" applyAlignment="1">
      <alignment horizontal="center"/>
    </xf>
    <xf numFmtId="0" fontId="29" fillId="2" borderId="0" xfId="0" applyFont="1" applyFill="1" applyAlignment="1">
      <alignment vertical="center"/>
    </xf>
    <xf numFmtId="0" fontId="0" fillId="2" borderId="2" xfId="0" applyFill="1" applyBorder="1"/>
    <xf numFmtId="173" fontId="28" fillId="2" borderId="1" xfId="0" applyNumberFormat="1" applyFont="1" applyFill="1" applyBorder="1" applyAlignment="1">
      <alignment horizontal="center"/>
    </xf>
    <xf numFmtId="168" fontId="30" fillId="2" borderId="1" xfId="0" applyNumberFormat="1" applyFont="1" applyFill="1" applyBorder="1" applyAlignment="1">
      <alignment horizontal="center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left" vertical="center"/>
    </xf>
    <xf numFmtId="0" fontId="27" fillId="10" borderId="6" xfId="0" applyFont="1" applyFill="1" applyBorder="1" applyAlignment="1">
      <alignment horizontal="center" vertical="center"/>
    </xf>
    <xf numFmtId="168" fontId="10" fillId="6" borderId="0" xfId="0" applyNumberFormat="1" applyFont="1" applyFill="1" applyAlignment="1">
      <alignment horizontal="center"/>
    </xf>
    <xf numFmtId="0" fontId="0" fillId="6" borderId="0" xfId="0" applyFill="1"/>
    <xf numFmtId="175" fontId="0" fillId="6" borderId="0" xfId="0" applyNumberFormat="1" applyFill="1"/>
    <xf numFmtId="0" fontId="27" fillId="10" borderId="22" xfId="0" applyFont="1" applyFill="1" applyBorder="1" applyAlignment="1">
      <alignment horizontal="center"/>
    </xf>
    <xf numFmtId="171" fontId="10" fillId="2" borderId="10" xfId="0" applyNumberFormat="1" applyFont="1" applyFill="1" applyBorder="1" applyAlignment="1">
      <alignment horizontal="center"/>
    </xf>
    <xf numFmtId="0" fontId="27" fillId="10" borderId="14" xfId="0" applyFont="1" applyFill="1" applyBorder="1" applyAlignment="1">
      <alignment horizontal="center"/>
    </xf>
    <xf numFmtId="0" fontId="27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12" fillId="2" borderId="22" xfId="0" applyFont="1" applyFill="1" applyBorder="1" applyAlignment="1">
      <alignment horizontal="center"/>
    </xf>
    <xf numFmtId="0" fontId="27" fillId="10" borderId="26" xfId="0" applyFont="1" applyFill="1" applyBorder="1" applyAlignment="1">
      <alignment horizontal="center"/>
    </xf>
    <xf numFmtId="0" fontId="38" fillId="4" borderId="0" xfId="13" applyFill="1" applyAlignment="1">
      <alignment horizontal="center"/>
    </xf>
    <xf numFmtId="0" fontId="0" fillId="4" borderId="0" xfId="0" quotePrefix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70" fontId="10" fillId="8" borderId="0" xfId="0" applyNumberFormat="1" applyFont="1" applyFill="1" applyAlignment="1">
      <alignment horizontal="center"/>
    </xf>
    <xf numFmtId="0" fontId="22" fillId="7" borderId="0" xfId="0" applyFont="1" applyFill="1" applyAlignment="1">
      <alignment horizontal="left"/>
    </xf>
    <xf numFmtId="0" fontId="21" fillId="5" borderId="0" xfId="0" applyFont="1" applyFill="1" applyAlignment="1">
      <alignment horizontal="left"/>
    </xf>
    <xf numFmtId="0" fontId="10" fillId="8" borderId="0" xfId="0" applyFont="1" applyFill="1" applyAlignment="1">
      <alignment horizontal="center"/>
    </xf>
    <xf numFmtId="172" fontId="10" fillId="8" borderId="0" xfId="0" applyNumberFormat="1" applyFont="1" applyFill="1" applyAlignment="1">
      <alignment horizontal="center"/>
    </xf>
    <xf numFmtId="173" fontId="9" fillId="5" borderId="1" xfId="0" applyNumberFormat="1" applyFont="1" applyFill="1" applyBorder="1" applyAlignment="1">
      <alignment horizontal="center"/>
    </xf>
    <xf numFmtId="173" fontId="34" fillId="11" borderId="10" xfId="0" applyNumberFormat="1" applyFont="1" applyFill="1" applyBorder="1" applyAlignment="1">
      <alignment horizontal="center" vertical="center"/>
    </xf>
    <xf numFmtId="173" fontId="34" fillId="11" borderId="12" xfId="0" applyNumberFormat="1" applyFont="1" applyFill="1" applyBorder="1" applyAlignment="1">
      <alignment horizontal="center" vertical="center"/>
    </xf>
    <xf numFmtId="173" fontId="34" fillId="11" borderId="16" xfId="0" applyNumberFormat="1" applyFont="1" applyFill="1" applyBorder="1" applyAlignment="1">
      <alignment horizontal="center" vertical="center" wrapText="1"/>
    </xf>
    <xf numFmtId="173" fontId="34" fillId="11" borderId="17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/>
    </xf>
    <xf numFmtId="0" fontId="32" fillId="11" borderId="1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10" fillId="2" borderId="0" xfId="0" applyNumberFormat="1" applyFont="1" applyFill="1" applyAlignment="1">
      <alignment horizontal="left"/>
    </xf>
    <xf numFmtId="14" fontId="10" fillId="2" borderId="11" xfId="0" applyNumberFormat="1" applyFont="1" applyFill="1" applyBorder="1" applyAlignment="1">
      <alignment horizontal="left"/>
    </xf>
    <xf numFmtId="173" fontId="34" fillId="11" borderId="18" xfId="0" applyNumberFormat="1" applyFont="1" applyFill="1" applyBorder="1" applyAlignment="1">
      <alignment horizontal="center" vertical="center" wrapText="1"/>
    </xf>
    <xf numFmtId="173" fontId="34" fillId="11" borderId="19" xfId="0" applyNumberFormat="1" applyFont="1" applyFill="1" applyBorder="1" applyAlignment="1">
      <alignment horizontal="center" vertical="center" wrapText="1"/>
    </xf>
    <xf numFmtId="173" fontId="34" fillId="11" borderId="0" xfId="0" applyNumberFormat="1" applyFont="1" applyFill="1" applyAlignment="1">
      <alignment horizontal="center" vertical="center" wrapText="1"/>
    </xf>
    <xf numFmtId="173" fontId="34" fillId="11" borderId="2" xfId="0" applyNumberFormat="1" applyFont="1" applyFill="1" applyBorder="1" applyAlignment="1">
      <alignment horizontal="center" vertical="center" wrapText="1"/>
    </xf>
    <xf numFmtId="173" fontId="34" fillId="11" borderId="20" xfId="0" applyNumberFormat="1" applyFont="1" applyFill="1" applyBorder="1" applyAlignment="1">
      <alignment horizontal="center" vertical="center" wrapText="1"/>
    </xf>
    <xf numFmtId="173" fontId="34" fillId="11" borderId="21" xfId="0" applyNumberFormat="1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/>
    </xf>
    <xf numFmtId="0" fontId="10" fillId="2" borderId="2" xfId="0" applyFont="1" applyFill="1" applyBorder="1" applyAlignment="1">
      <alignment horizontal="left"/>
    </xf>
    <xf numFmtId="0" fontId="10" fillId="2" borderId="0" xfId="0" applyFont="1" applyFill="1" applyAlignment="1">
      <alignment horizontal="left"/>
    </xf>
    <xf numFmtId="165" fontId="0" fillId="2" borderId="6" xfId="0" applyNumberFormat="1" applyFill="1" applyBorder="1" applyAlignment="1">
      <alignment horizontal="center"/>
    </xf>
    <xf numFmtId="165" fontId="0" fillId="2" borderId="5" xfId="0" applyNumberFormat="1" applyFill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13" fillId="5" borderId="5" xfId="0" applyFont="1" applyFill="1" applyBorder="1" applyAlignment="1">
      <alignment horizontal="center"/>
    </xf>
    <xf numFmtId="0" fontId="35" fillId="12" borderId="1" xfId="0" applyFont="1" applyFill="1" applyBorder="1" applyAlignment="1">
      <alignment horizontal="center" vertical="center"/>
    </xf>
    <xf numFmtId="0" fontId="31" fillId="2" borderId="10" xfId="0" applyFont="1" applyFill="1" applyBorder="1" applyAlignment="1">
      <alignment horizontal="center" vertical="center"/>
    </xf>
    <xf numFmtId="0" fontId="31" fillId="2" borderId="12" xfId="0" applyFont="1" applyFill="1" applyBorder="1" applyAlignment="1">
      <alignment horizontal="center" vertical="center"/>
    </xf>
    <xf numFmtId="0" fontId="30" fillId="2" borderId="6" xfId="0" applyFont="1" applyFill="1" applyBorder="1" applyAlignment="1">
      <alignment horizontal="center"/>
    </xf>
    <xf numFmtId="0" fontId="30" fillId="2" borderId="5" xfId="0" applyFont="1" applyFill="1" applyBorder="1" applyAlignment="1">
      <alignment horizontal="center"/>
    </xf>
    <xf numFmtId="0" fontId="33" fillId="12" borderId="1" xfId="0" applyFont="1" applyFill="1" applyBorder="1" applyAlignment="1">
      <alignment horizontal="center" vertical="center"/>
    </xf>
    <xf numFmtId="168" fontId="30" fillId="2" borderId="1" xfId="0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4" fillId="3" borderId="0" xfId="0" applyFont="1" applyFill="1" applyAlignment="1">
      <alignment horizontal="left"/>
    </xf>
    <xf numFmtId="0" fontId="3" fillId="3" borderId="23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165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71" fontId="10" fillId="2" borderId="0" xfId="0" applyNumberFormat="1" applyFont="1" applyFill="1" applyBorder="1" applyAlignment="1">
      <alignment horizontal="center"/>
    </xf>
    <xf numFmtId="0" fontId="27" fillId="10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</cellXfs>
  <cellStyles count="14">
    <cellStyle name="Hipervínculo" xfId="13" builtinId="8"/>
    <cellStyle name="Millares" xfId="3" builtinId="3"/>
    <cellStyle name="Moneda" xfId="1" builtinId="4"/>
    <cellStyle name="Normal" xfId="0" builtinId="0"/>
    <cellStyle name="Normal 2" xfId="4" xr:uid="{00000000-0005-0000-0000-000003000000}"/>
    <cellStyle name="Normal 3" xfId="7" xr:uid="{00000000-0005-0000-0000-000004000000}"/>
    <cellStyle name="Normal 4" xfId="8" xr:uid="{00000000-0005-0000-0000-000005000000}"/>
    <cellStyle name="Normal 5" xfId="9" xr:uid="{00000000-0005-0000-0000-000006000000}"/>
    <cellStyle name="Normal 6" xfId="10" xr:uid="{00000000-0005-0000-0000-000007000000}"/>
    <cellStyle name="Normal 7" xfId="11" xr:uid="{00000000-0005-0000-0000-000008000000}"/>
    <cellStyle name="Normal 8" xfId="12" xr:uid="{00000000-0005-0000-0000-000009000000}"/>
    <cellStyle name="Porcentaje" xfId="2" builtinId="5"/>
    <cellStyle name="常规 2" xfId="6" xr:uid="{00000000-0005-0000-0000-00000B000000}"/>
    <cellStyle name="常规_Sales C0ntract" xfId="5" xr:uid="{00000000-0005-0000-0000-00000C000000}"/>
  </cellStyles>
  <dxfs count="0"/>
  <tableStyles count="0" defaultTableStyle="TableStyleMedium2" defaultPivotStyle="PivotStyleLight16"/>
  <colors>
    <mruColors>
      <color rgb="FFDD7105"/>
      <color rgb="FFE37C1A"/>
      <color rgb="FFFF500B"/>
      <color rgb="FFC87700"/>
      <color rgb="FFFF9900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56</xdr:row>
      <xdr:rowOff>147864</xdr:rowOff>
    </xdr:from>
    <xdr:to>
      <xdr:col>1</xdr:col>
      <xdr:colOff>299357</xdr:colOff>
      <xdr:row>58</xdr:row>
      <xdr:rowOff>27214</xdr:rowOff>
    </xdr:to>
    <xdr:sp macro="" textlink="">
      <xdr:nvSpPr>
        <xdr:cNvPr id="9" name="Rectángulo: esquinas redondeadas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7150" y="11986078"/>
          <a:ext cx="963386" cy="260350"/>
        </a:xfrm>
        <a:prstGeom prst="roundRect">
          <a:avLst/>
        </a:prstGeom>
        <a:solidFill>
          <a:srgbClr val="009999"/>
        </a:solidFill>
        <a:ln>
          <a:solidFill>
            <a:srgbClr val="0099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900" b="1"/>
        </a:p>
      </xdr:txBody>
    </xdr:sp>
    <xdr:clientData/>
  </xdr:twoCellAnchor>
  <xdr:twoCellAnchor>
    <xdr:from>
      <xdr:col>0</xdr:col>
      <xdr:colOff>7258</xdr:colOff>
      <xdr:row>56</xdr:row>
      <xdr:rowOff>139247</xdr:rowOff>
    </xdr:from>
    <xdr:to>
      <xdr:col>1</xdr:col>
      <xdr:colOff>503464</xdr:colOff>
      <xdr:row>58</xdr:row>
      <xdr:rowOff>40822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7258" y="11977461"/>
          <a:ext cx="1217385" cy="282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>
              <a:solidFill>
                <a:schemeClr val="bg1"/>
              </a:solidFill>
              <a:latin typeface="Bahnschrift" panose="020B0502040204020203" pitchFamily="34" charset="0"/>
            </a:rPr>
            <a:t>DEL</a:t>
          </a:r>
          <a:r>
            <a:rPr lang="es-PE" sz="1200" baseline="0">
              <a:solidFill>
                <a:schemeClr val="bg1"/>
              </a:solidFill>
              <a:latin typeface="Bahnschrift" panose="020B0502040204020203" pitchFamily="34" charset="0"/>
            </a:rPr>
            <a:t> CLIENTE</a:t>
          </a:r>
          <a:endParaRPr lang="es-PE" sz="1200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0</xdr:col>
      <xdr:colOff>51938</xdr:colOff>
      <xdr:row>73</xdr:row>
      <xdr:rowOff>147864</xdr:rowOff>
    </xdr:from>
    <xdr:to>
      <xdr:col>2</xdr:col>
      <xdr:colOff>161126</xdr:colOff>
      <xdr:row>75</xdr:row>
      <xdr:rowOff>27214</xdr:rowOff>
    </xdr:to>
    <xdr:sp macro="" textlink="">
      <xdr:nvSpPr>
        <xdr:cNvPr id="13" name="Rectángulo: esquinas redondeadas 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1938" y="14272078"/>
          <a:ext cx="1551545" cy="260350"/>
        </a:xfrm>
        <a:prstGeom prst="roundRect">
          <a:avLst/>
        </a:prstGeom>
        <a:solidFill>
          <a:srgbClr val="009999"/>
        </a:solidFill>
        <a:ln>
          <a:solidFill>
            <a:srgbClr val="0099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900" b="1"/>
        </a:p>
      </xdr:txBody>
    </xdr:sp>
    <xdr:clientData/>
  </xdr:twoCellAnchor>
  <xdr:twoCellAnchor>
    <xdr:from>
      <xdr:col>0</xdr:col>
      <xdr:colOff>20865</xdr:colOff>
      <xdr:row>73</xdr:row>
      <xdr:rowOff>139247</xdr:rowOff>
    </xdr:from>
    <xdr:to>
      <xdr:col>2</xdr:col>
      <xdr:colOff>258536</xdr:colOff>
      <xdr:row>75</xdr:row>
      <xdr:rowOff>108857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20865" y="14263461"/>
          <a:ext cx="1680028" cy="350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>
              <a:solidFill>
                <a:schemeClr val="bg1"/>
              </a:solidFill>
              <a:latin typeface="Bahnschrift" panose="020B0502040204020203" pitchFamily="34" charset="0"/>
            </a:rPr>
            <a:t>DE LA IMPORTACIÓN</a:t>
          </a:r>
        </a:p>
      </xdr:txBody>
    </xdr:sp>
    <xdr:clientData/>
  </xdr:twoCellAnchor>
  <xdr:twoCellAnchor>
    <xdr:from>
      <xdr:col>0</xdr:col>
      <xdr:colOff>68035</xdr:colOff>
      <xdr:row>87</xdr:row>
      <xdr:rowOff>147864</xdr:rowOff>
    </xdr:from>
    <xdr:to>
      <xdr:col>1</xdr:col>
      <xdr:colOff>629124</xdr:colOff>
      <xdr:row>89</xdr:row>
      <xdr:rowOff>27214</xdr:rowOff>
    </xdr:to>
    <xdr:sp macro="" textlink="">
      <xdr:nvSpPr>
        <xdr:cNvPr id="15" name="Rectángulo: esquinas redondeadas 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68035" y="16558078"/>
          <a:ext cx="1282268" cy="260350"/>
        </a:xfrm>
        <a:prstGeom prst="roundRect">
          <a:avLst/>
        </a:prstGeom>
        <a:solidFill>
          <a:srgbClr val="009999"/>
        </a:solidFill>
        <a:ln>
          <a:solidFill>
            <a:srgbClr val="0099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900" b="1"/>
        </a:p>
      </xdr:txBody>
    </xdr:sp>
    <xdr:clientData/>
  </xdr:twoCellAnchor>
  <xdr:twoCellAnchor>
    <xdr:from>
      <xdr:col>0</xdr:col>
      <xdr:colOff>48080</xdr:colOff>
      <xdr:row>87</xdr:row>
      <xdr:rowOff>139248</xdr:rowOff>
    </xdr:from>
    <xdr:to>
      <xdr:col>2</xdr:col>
      <xdr:colOff>462643</xdr:colOff>
      <xdr:row>89</xdr:row>
      <xdr:rowOff>54430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8080" y="16549462"/>
          <a:ext cx="1856920" cy="2961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>
              <a:solidFill>
                <a:schemeClr val="bg1"/>
              </a:solidFill>
              <a:latin typeface="Bahnschrift" panose="020B0502040204020203" pitchFamily="34" charset="0"/>
            </a:rPr>
            <a:t>DE</a:t>
          </a:r>
          <a:r>
            <a:rPr lang="es-PE" sz="1200" baseline="0">
              <a:solidFill>
                <a:schemeClr val="bg1"/>
              </a:solidFill>
              <a:latin typeface="Bahnschrift" panose="020B0502040204020203" pitchFamily="34" charset="0"/>
            </a:rPr>
            <a:t> LA EMPRESA</a:t>
          </a:r>
          <a:r>
            <a:rPr lang="es-PE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  </a:t>
          </a:r>
          <a:r>
            <a:rPr lang="es-PE" sz="1200">
              <a:solidFill>
                <a:schemeClr val="bg1"/>
              </a:solidFill>
            </a:rPr>
            <a:t> </a:t>
          </a:r>
          <a:r>
            <a:rPr lang="es-PE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PE" sz="1200">
              <a:solidFill>
                <a:schemeClr val="bg1"/>
              </a:solidFill>
            </a:rPr>
            <a:t> </a:t>
          </a:r>
          <a:r>
            <a:rPr lang="es-PE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PE" sz="1200">
              <a:solidFill>
                <a:schemeClr val="bg1"/>
              </a:solidFill>
            </a:rPr>
            <a:t> </a:t>
          </a:r>
          <a:r>
            <a:rPr lang="es-PE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PE" sz="1200">
              <a:solidFill>
                <a:schemeClr val="bg1"/>
              </a:solidFill>
            </a:rPr>
            <a:t> </a:t>
          </a:r>
          <a:r>
            <a:rPr lang="es-PE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PE" sz="1200">
              <a:solidFill>
                <a:schemeClr val="bg1"/>
              </a:solidFill>
            </a:rPr>
            <a:t> </a:t>
          </a:r>
          <a:r>
            <a:rPr lang="es-PE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s-PE" sz="1200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213360</xdr:colOff>
          <xdr:row>2</xdr:row>
          <xdr:rowOff>213360</xdr:rowOff>
        </xdr:from>
        <xdr:to>
          <xdr:col>18</xdr:col>
          <xdr:colOff>472440</xdr:colOff>
          <xdr:row>5</xdr:row>
          <xdr:rowOff>60960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s-P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Botón 1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223633</xdr:colOff>
      <xdr:row>14</xdr:row>
      <xdr:rowOff>110746</xdr:rowOff>
    </xdr:from>
    <xdr:to>
      <xdr:col>8</xdr:col>
      <xdr:colOff>798605</xdr:colOff>
      <xdr:row>42</xdr:row>
      <xdr:rowOff>231518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alphaModFix amt="1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09" t="9881" r="9525" b="9613"/>
        <a:stretch/>
      </xdr:blipFill>
      <xdr:spPr>
        <a:xfrm>
          <a:off x="1150156" y="2881655"/>
          <a:ext cx="5553256" cy="5783818"/>
        </a:xfrm>
        <a:prstGeom prst="rect">
          <a:avLst/>
        </a:prstGeom>
      </xdr:spPr>
    </xdr:pic>
    <xdr:clientData/>
  </xdr:twoCellAnchor>
  <xdr:twoCellAnchor>
    <xdr:from>
      <xdr:col>3</xdr:col>
      <xdr:colOff>607219</xdr:colOff>
      <xdr:row>49</xdr:row>
      <xdr:rowOff>59531</xdr:rowOff>
    </xdr:from>
    <xdr:to>
      <xdr:col>9</xdr:col>
      <xdr:colOff>218434</xdr:colOff>
      <xdr:row>54</xdr:row>
      <xdr:rowOff>94305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290094" y="10568781"/>
          <a:ext cx="3437090" cy="1082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2000" b="1">
              <a:solidFill>
                <a:sysClr val="windowText" lastClr="000000"/>
              </a:solidFill>
            </a:rPr>
            <a:t>PRO MUNDO COMEX S.A.C.</a:t>
          </a:r>
          <a:br>
            <a:rPr lang="es-PE" sz="2000" b="1">
              <a:solidFill>
                <a:sysClr val="windowText" lastClr="000000"/>
              </a:solidFill>
            </a:rPr>
          </a:br>
          <a:r>
            <a:rPr lang="es-PE" sz="2000" b="1">
              <a:solidFill>
                <a:srgbClr val="FF500B"/>
              </a:solidFill>
            </a:rPr>
            <a:t>RUC: 20612452432</a:t>
          </a:r>
          <a:endParaRPr lang="es-PE" sz="2000" b="0">
            <a:solidFill>
              <a:srgbClr val="FF500B"/>
            </a:solidFill>
          </a:endParaRPr>
        </a:p>
      </xdr:txBody>
    </xdr:sp>
    <xdr:clientData/>
  </xdr:twoCellAnchor>
  <xdr:twoCellAnchor editAs="oneCell">
    <xdr:from>
      <xdr:col>1</xdr:col>
      <xdr:colOff>813593</xdr:colOff>
      <xdr:row>48</xdr:row>
      <xdr:rowOff>174625</xdr:rowOff>
    </xdr:from>
    <xdr:to>
      <xdr:col>3</xdr:col>
      <xdr:colOff>298361</xdr:colOff>
      <xdr:row>54</xdr:row>
      <xdr:rowOff>130194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0593" y="10493375"/>
          <a:ext cx="1220223" cy="1193819"/>
        </a:xfrm>
        <a:prstGeom prst="rect">
          <a:avLst/>
        </a:prstGeom>
      </xdr:spPr>
    </xdr:pic>
    <xdr:clientData/>
  </xdr:twoCellAnchor>
  <xdr:twoCellAnchor editAs="oneCell">
    <xdr:from>
      <xdr:col>0</xdr:col>
      <xdr:colOff>587375</xdr:colOff>
      <xdr:row>0</xdr:row>
      <xdr:rowOff>0</xdr:rowOff>
    </xdr:from>
    <xdr:to>
      <xdr:col>1</xdr:col>
      <xdr:colOff>878910</xdr:colOff>
      <xdr:row>5</xdr:row>
      <xdr:rowOff>146069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3625" y="0"/>
          <a:ext cx="1212285" cy="11938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79078</xdr:rowOff>
    </xdr:from>
    <xdr:to>
      <xdr:col>9</xdr:col>
      <xdr:colOff>31803</xdr:colOff>
      <xdr:row>94</xdr:row>
      <xdr:rowOff>33834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b="9411"/>
        <a:stretch/>
      </xdr:blipFill>
      <xdr:spPr>
        <a:xfrm>
          <a:off x="0" y="18776300"/>
          <a:ext cx="7639885" cy="6276534"/>
        </a:xfrm>
        <a:prstGeom prst="rect">
          <a:avLst/>
        </a:prstGeom>
      </xdr:spPr>
    </xdr:pic>
    <xdr:clientData/>
  </xdr:twoCellAnchor>
  <xdr:twoCellAnchor>
    <xdr:from>
      <xdr:col>3</xdr:col>
      <xdr:colOff>31750</xdr:colOff>
      <xdr:row>0</xdr:row>
      <xdr:rowOff>0</xdr:rowOff>
    </xdr:from>
    <xdr:to>
      <xdr:col>8</xdr:col>
      <xdr:colOff>389090</xdr:colOff>
      <xdr:row>5</xdr:row>
      <xdr:rowOff>34774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2714625" y="0"/>
          <a:ext cx="3437090" cy="1082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2000" b="1">
              <a:solidFill>
                <a:sysClr val="windowText" lastClr="000000"/>
              </a:solidFill>
            </a:rPr>
            <a:t>PRO MUNDO COMEX S.A.C.</a:t>
          </a:r>
          <a:br>
            <a:rPr lang="es-PE" sz="2000" b="1">
              <a:solidFill>
                <a:sysClr val="windowText" lastClr="000000"/>
              </a:solidFill>
            </a:rPr>
          </a:br>
          <a:r>
            <a:rPr lang="es-PE" sz="2000" b="1">
              <a:solidFill>
                <a:srgbClr val="FF500B"/>
              </a:solidFill>
            </a:rPr>
            <a:t>RUC: 20612452432</a:t>
          </a:r>
          <a:endParaRPr lang="es-PE" sz="2000" b="0">
            <a:solidFill>
              <a:srgbClr val="FF500B"/>
            </a:solidFill>
          </a:endParaRPr>
        </a:p>
      </xdr:txBody>
    </xdr:sp>
    <xdr:clientData/>
  </xdr:twoCellAnchor>
  <xdr:twoCellAnchor editAs="oneCell">
    <xdr:from>
      <xdr:col>0</xdr:col>
      <xdr:colOff>809977</xdr:colOff>
      <xdr:row>96</xdr:row>
      <xdr:rowOff>166510</xdr:rowOff>
    </xdr:from>
    <xdr:to>
      <xdr:col>5</xdr:col>
      <xdr:colOff>737916</xdr:colOff>
      <xdr:row>111</xdr:row>
      <xdr:rowOff>177800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9977" y="26379310"/>
          <a:ext cx="4954599" cy="30592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74083</xdr:colOff>
      <xdr:row>21</xdr:row>
      <xdr:rowOff>95250</xdr:rowOff>
    </xdr:from>
    <xdr:to>
      <xdr:col>10</xdr:col>
      <xdr:colOff>666750</xdr:colOff>
      <xdr:row>21</xdr:row>
      <xdr:rowOff>95250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3631333" y="2423583"/>
          <a:ext cx="592667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ryanruizbellido@gmail.com" TargetMode="Externa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Y109"/>
  <sheetViews>
    <sheetView showGridLines="0" tabSelected="1" topLeftCell="A9" zoomScale="110" zoomScaleNormal="110" zoomScaleSheetLayoutView="80" workbookViewId="0">
      <selection activeCell="J22" sqref="J22"/>
    </sheetView>
  </sheetViews>
  <sheetFormatPr baseColWidth="10" defaultColWidth="10.77734375" defaultRowHeight="14.4"/>
  <cols>
    <col min="1" max="1" width="13.77734375" style="1" customWidth="1"/>
    <col min="2" max="2" width="23.109375" style="1" customWidth="1"/>
    <col min="3" max="3" width="2.44140625" style="1" customWidth="1"/>
    <col min="4" max="4" width="13.44140625" style="1" bestFit="1" customWidth="1"/>
    <col min="5" max="5" width="10.77734375" style="1" customWidth="1"/>
    <col min="6" max="6" width="12" style="1" customWidth="1"/>
    <col min="7" max="7" width="2.44140625" style="1" customWidth="1"/>
    <col min="8" max="8" width="9.77734375" style="1" customWidth="1"/>
    <col min="9" max="9" width="12.109375" style="1" customWidth="1"/>
    <col min="10" max="10" width="11.33203125" style="1" bestFit="1" customWidth="1"/>
    <col min="11" max="11" width="11.44140625" style="1" customWidth="1"/>
    <col min="12" max="12" width="7.109375" style="1" customWidth="1"/>
    <col min="13" max="13" width="9" style="1" customWidth="1"/>
    <col min="14" max="14" width="23" style="1" bestFit="1" customWidth="1"/>
    <col min="15" max="15" width="25.77734375" style="1" customWidth="1"/>
    <col min="16" max="16" width="19.77734375" style="1" customWidth="1"/>
    <col min="17" max="17" width="20.109375" style="1" customWidth="1"/>
    <col min="18" max="18" width="11.44140625" style="1" customWidth="1"/>
    <col min="19" max="19" width="16.44140625" style="1" bestFit="1" customWidth="1"/>
    <col min="20" max="20" width="11.44140625" style="1" customWidth="1"/>
    <col min="21" max="16384" width="10.77734375" style="1"/>
  </cols>
  <sheetData>
    <row r="1" spans="1:25" ht="18">
      <c r="H1" s="32"/>
      <c r="I1" s="32"/>
      <c r="J1" s="32"/>
      <c r="K1" s="31"/>
    </row>
    <row r="2" spans="1:25" ht="18">
      <c r="H2" s="32"/>
      <c r="I2" s="32"/>
      <c r="J2" s="32"/>
      <c r="K2" s="31"/>
    </row>
    <row r="3" spans="1:25">
      <c r="F3" s="129"/>
      <c r="G3" s="129"/>
      <c r="H3" s="129"/>
      <c r="I3" s="129"/>
      <c r="W3" s="5" t="s">
        <v>80</v>
      </c>
    </row>
    <row r="4" spans="1:25">
      <c r="F4" s="130"/>
      <c r="G4" s="130"/>
      <c r="H4" s="130"/>
      <c r="I4" s="130"/>
      <c r="J4" s="40"/>
      <c r="W4" s="5" t="s">
        <v>81</v>
      </c>
    </row>
    <row r="5" spans="1:25">
      <c r="W5" s="5" t="s">
        <v>82</v>
      </c>
    </row>
    <row r="6" spans="1:25">
      <c r="B6" s="72"/>
      <c r="C6" s="72"/>
      <c r="E6" s="72"/>
      <c r="F6" s="72"/>
      <c r="G6" s="72"/>
      <c r="W6" s="83" t="s">
        <v>86</v>
      </c>
    </row>
    <row r="7" spans="1:25">
      <c r="D7" s="131" t="s">
        <v>117</v>
      </c>
      <c r="E7" s="131"/>
      <c r="F7" s="131"/>
      <c r="W7" s="5" t="s">
        <v>85</v>
      </c>
    </row>
    <row r="8" spans="1:25">
      <c r="A8" s="33" t="s">
        <v>79</v>
      </c>
      <c r="B8" s="47" t="s">
        <v>141</v>
      </c>
      <c r="D8" s="66" t="s">
        <v>24</v>
      </c>
      <c r="E8" s="67" t="s">
        <v>25</v>
      </c>
      <c r="F8" s="68"/>
      <c r="G8" s="31"/>
      <c r="H8" s="1" t="s">
        <v>30</v>
      </c>
      <c r="I8" s="138">
        <f>+'2'!E5</f>
        <v>83</v>
      </c>
      <c r="J8" s="138"/>
      <c r="K8" s="138"/>
      <c r="T8" s="89"/>
      <c r="W8" s="5" t="s">
        <v>89</v>
      </c>
    </row>
    <row r="9" spans="1:25">
      <c r="A9" s="33" t="s">
        <v>116</v>
      </c>
      <c r="B9" s="47">
        <v>47976981</v>
      </c>
      <c r="D9" s="69" t="s">
        <v>103</v>
      </c>
      <c r="E9" s="148">
        <f ca="1">+TODAY()</f>
        <v>45736</v>
      </c>
      <c r="F9" s="149"/>
      <c r="G9" s="31"/>
      <c r="H9" s="1" t="s">
        <v>29</v>
      </c>
      <c r="I9" s="139">
        <f>+'2'!E6</f>
        <v>1470.4</v>
      </c>
      <c r="J9" s="139"/>
      <c r="K9" s="139"/>
      <c r="R9" s="3"/>
      <c r="S9" s="50" t="s">
        <v>88</v>
      </c>
      <c r="T9" s="6" t="s">
        <v>54</v>
      </c>
    </row>
    <row r="10" spans="1:25">
      <c r="A10" s="33" t="s">
        <v>115</v>
      </c>
      <c r="B10" s="127" t="s">
        <v>142</v>
      </c>
      <c r="D10" s="79" t="s">
        <v>26</v>
      </c>
      <c r="E10" s="1" t="s">
        <v>27</v>
      </c>
      <c r="F10" s="78"/>
      <c r="G10" s="31"/>
      <c r="H10" s="1" t="s">
        <v>73</v>
      </c>
      <c r="I10" s="92">
        <v>0</v>
      </c>
      <c r="J10" s="92">
        <v>0</v>
      </c>
      <c r="K10" s="92">
        <v>0</v>
      </c>
      <c r="R10" s="82" t="s">
        <v>82</v>
      </c>
      <c r="S10" s="50" cm="1">
        <f t="array" ref="S10">IF('1'!$I$11&lt;0.59,280,IF('1'!$I$11&lt;1,375,IF('1'!$I$11&lt;=2.09,375*'1'!$I$11,IF('1'!$I$11&lt;=3.09,350*'1'!$I$11,IF('1'!$I$11&lt;=4.09,325*'1'!$I$11,IF('1'!$I$11&gt;4.09,300*'1'!$I$11,ERROR))))))</f>
        <v>3403.8</v>
      </c>
      <c r="T10" s="86">
        <f>IF($I$11&lt;1,S10,S10/$I$11)</f>
        <v>300</v>
      </c>
      <c r="U10" s="49"/>
      <c r="V10" s="82"/>
      <c r="W10" s="82" t="s">
        <v>82</v>
      </c>
      <c r="X10" s="82" t="s">
        <v>81</v>
      </c>
      <c r="Y10" s="82" t="s">
        <v>86</v>
      </c>
    </row>
    <row r="11" spans="1:25">
      <c r="A11" s="33" t="s">
        <v>23</v>
      </c>
      <c r="B11" s="128" t="s">
        <v>143</v>
      </c>
      <c r="D11" s="70" t="s">
        <v>22</v>
      </c>
      <c r="E11" s="38" t="s">
        <v>82</v>
      </c>
      <c r="F11" s="71"/>
      <c r="H11" s="1" t="s">
        <v>28</v>
      </c>
      <c r="I11" s="135">
        <f>+'2'!E8</f>
        <v>11.346</v>
      </c>
      <c r="J11" s="135"/>
      <c r="K11" s="135"/>
      <c r="L11" s="61"/>
      <c r="R11" s="82" t="s">
        <v>81</v>
      </c>
      <c r="S11" s="50" cm="1">
        <f t="array" ref="S11">IF('1'!$I$11&lt;0.59,260,IF('1'!$I$11&lt;1,350,IF('1'!$I$11&lt;2.09,350*'1'!$I$11,IF('1'!$I$11&lt;3.09,325*'1'!$I$11,IF('1'!$I$11&lt;4.09,'1'!$I$11*300,IF('1'!$I$11&gt;4.09,280*'1'!$I$11,ERROR))))))</f>
        <v>3176.88</v>
      </c>
      <c r="T11" s="86">
        <f>IF($I$11&lt;1,S11,S11/$I$11)</f>
        <v>280</v>
      </c>
      <c r="U11" s="3"/>
      <c r="V11" s="82" t="s">
        <v>104</v>
      </c>
      <c r="W11" s="82">
        <v>280</v>
      </c>
      <c r="X11" s="82">
        <v>260</v>
      </c>
      <c r="Y11" s="147">
        <v>250</v>
      </c>
    </row>
    <row r="12" spans="1:25">
      <c r="R12" s="82" t="s">
        <v>89</v>
      </c>
      <c r="S12" s="50">
        <f>T12*I11</f>
        <v>0</v>
      </c>
      <c r="T12" s="86">
        <v>0</v>
      </c>
      <c r="U12" s="3"/>
      <c r="V12" s="82" t="s">
        <v>105</v>
      </c>
      <c r="W12" s="82">
        <v>375</v>
      </c>
      <c r="X12" s="82">
        <v>350</v>
      </c>
      <c r="Y12" s="147"/>
    </row>
    <row r="13" spans="1:25">
      <c r="A13" s="137" t="s">
        <v>31</v>
      </c>
      <c r="B13" s="137"/>
      <c r="C13" s="137"/>
      <c r="D13" s="137"/>
      <c r="E13" s="137"/>
      <c r="F13" s="59"/>
      <c r="G13" s="59"/>
      <c r="H13" s="62"/>
      <c r="I13" s="62"/>
      <c r="J13" s="36" t="s">
        <v>34</v>
      </c>
      <c r="K13" s="36" t="s">
        <v>33</v>
      </c>
      <c r="R13" s="82" t="s">
        <v>86</v>
      </c>
      <c r="S13" s="50">
        <f>IF('1'!$I$11&lt;1,250,IF('1'!$I$11&lt;4,250*'1'!$I$11,IF('1'!$I$11&lt;=10,250*'1'!$I$11,IF('1'!$I$11&gt;10,250*'1'!$I$11,"VERIFICA EL CBM"))))</f>
        <v>2836.5</v>
      </c>
      <c r="T13" s="86">
        <f>IF($I$11&lt;1,S13,S13/I$11)</f>
        <v>250</v>
      </c>
      <c r="U13" s="88"/>
      <c r="V13" s="107" t="s">
        <v>106</v>
      </c>
      <c r="W13" s="107">
        <v>375</v>
      </c>
      <c r="X13" s="82">
        <v>350</v>
      </c>
      <c r="Y13" s="147"/>
    </row>
    <row r="14" spans="1:25">
      <c r="A14" s="158" t="s">
        <v>36</v>
      </c>
      <c r="B14" s="158"/>
      <c r="C14" s="158"/>
      <c r="D14" s="31"/>
      <c r="E14" s="31"/>
      <c r="F14" s="31"/>
      <c r="G14" s="31"/>
      <c r="J14" s="45">
        <f>'2'!E18</f>
        <v>15985</v>
      </c>
      <c r="K14" s="34" t="s">
        <v>35</v>
      </c>
      <c r="R14" s="82" t="s">
        <v>85</v>
      </c>
      <c r="S14" s="50">
        <f>IF('1'!$I$11&lt;1,250,250*'1'!$I$11)</f>
        <v>2836.5</v>
      </c>
      <c r="T14" s="86">
        <f>IF($I$11&lt;1,S14,S14/$I$11)</f>
        <v>250</v>
      </c>
      <c r="V14" s="107" t="s">
        <v>107</v>
      </c>
      <c r="W14" s="107">
        <v>350</v>
      </c>
      <c r="X14" s="82">
        <v>325</v>
      </c>
      <c r="Y14" s="147"/>
    </row>
    <row r="15" spans="1:25">
      <c r="A15" s="157" t="s">
        <v>32</v>
      </c>
      <c r="B15" s="157"/>
      <c r="C15" s="157"/>
      <c r="D15" s="38"/>
      <c r="E15" s="38"/>
      <c r="F15" s="38"/>
      <c r="G15" s="38"/>
      <c r="H15" s="38"/>
      <c r="I15" s="38"/>
      <c r="J15" s="46">
        <f>IF(I11&lt;1,'2'!E21+'2'!E24,60%*(T16*I11)+'2'!E24)</f>
        <v>2142.2799999999997</v>
      </c>
      <c r="K15" s="39" t="s">
        <v>35</v>
      </c>
      <c r="V15" s="82" t="s">
        <v>108</v>
      </c>
      <c r="W15" s="82">
        <v>325</v>
      </c>
      <c r="X15" s="82">
        <v>300</v>
      </c>
      <c r="Y15" s="147"/>
    </row>
    <row r="16" spans="1:25">
      <c r="A16" s="33" t="s">
        <v>7</v>
      </c>
      <c r="B16" s="31"/>
      <c r="C16" s="31"/>
      <c r="D16" s="31"/>
      <c r="E16" s="31"/>
      <c r="F16" s="31"/>
      <c r="G16" s="31"/>
      <c r="H16" s="31"/>
      <c r="I16" s="31"/>
      <c r="J16" s="45">
        <f>SUM(J14:J15)</f>
        <v>18127.28</v>
      </c>
      <c r="K16" s="34" t="s">
        <v>35</v>
      </c>
      <c r="O16" s="49"/>
      <c r="R16" s="82" t="s">
        <v>91</v>
      </c>
      <c r="S16" s="82" t="str">
        <f>E11</f>
        <v>NUEVO</v>
      </c>
      <c r="T16" s="82">
        <f>VLOOKUP(S16,R10:T14,3,0)</f>
        <v>300</v>
      </c>
      <c r="V16" s="82" t="s">
        <v>109</v>
      </c>
      <c r="W16" s="82">
        <v>300</v>
      </c>
      <c r="X16" s="82">
        <v>280</v>
      </c>
      <c r="Y16" s="147"/>
    </row>
    <row r="17" spans="1:1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O17" s="49"/>
    </row>
    <row r="18" spans="1:1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</row>
    <row r="19" spans="1:15">
      <c r="A19" s="137" t="s">
        <v>101</v>
      </c>
      <c r="B19" s="137"/>
      <c r="C19" s="137"/>
      <c r="D19" s="137"/>
      <c r="E19" s="137"/>
      <c r="F19" s="59"/>
      <c r="G19" s="59"/>
      <c r="H19" s="59"/>
      <c r="I19" s="36" t="s">
        <v>42</v>
      </c>
      <c r="J19" s="36" t="s">
        <v>34</v>
      </c>
      <c r="K19" s="36" t="s">
        <v>33</v>
      </c>
    </row>
    <row r="20" spans="1:15">
      <c r="A20" s="31" t="s">
        <v>37</v>
      </c>
      <c r="B20" s="31"/>
      <c r="C20" s="31"/>
      <c r="D20" s="31"/>
      <c r="E20" s="31"/>
      <c r="F20" s="31"/>
      <c r="G20" s="31"/>
      <c r="H20" s="31"/>
      <c r="I20" s="63">
        <f>MAX('2'!C33:C33)</f>
        <v>0</v>
      </c>
      <c r="J20" s="45">
        <f>'2'!E34</f>
        <v>0</v>
      </c>
      <c r="K20" s="34" t="s">
        <v>35</v>
      </c>
      <c r="N20" s="117" t="s">
        <v>54</v>
      </c>
    </row>
    <row r="21" spans="1:15">
      <c r="A21" s="31" t="s">
        <v>38</v>
      </c>
      <c r="B21" s="31"/>
      <c r="C21" s="31"/>
      <c r="D21" s="31"/>
      <c r="E21" s="31"/>
      <c r="F21" s="31"/>
      <c r="G21" s="31"/>
      <c r="H21" s="31"/>
      <c r="I21" s="63">
        <v>0.16</v>
      </c>
      <c r="J21" s="45">
        <f>'2'!E35</f>
        <v>2900.3647999999998</v>
      </c>
      <c r="K21" s="34" t="s">
        <v>35</v>
      </c>
      <c r="N21" s="118">
        <f>J31/I11</f>
        <v>300</v>
      </c>
    </row>
    <row r="22" spans="1:15">
      <c r="A22" s="31" t="s">
        <v>39</v>
      </c>
      <c r="B22" s="31"/>
      <c r="C22" s="31"/>
      <c r="D22" s="31"/>
      <c r="E22" s="31"/>
      <c r="F22" s="31"/>
      <c r="G22" s="31"/>
      <c r="H22" s="31"/>
      <c r="I22" s="63">
        <v>0.02</v>
      </c>
      <c r="J22" s="45">
        <f>'2'!E36</f>
        <v>362.54559999999998</v>
      </c>
      <c r="K22" s="34" t="s">
        <v>35</v>
      </c>
    </row>
    <row r="23" spans="1:15">
      <c r="A23" s="38" t="s">
        <v>40</v>
      </c>
      <c r="B23" s="38"/>
      <c r="C23" s="38"/>
      <c r="D23" s="38"/>
      <c r="E23" s="38"/>
      <c r="F23" s="38"/>
      <c r="G23" s="38"/>
      <c r="H23" s="38"/>
      <c r="I23" s="81">
        <f>MAX('2'!C30:C30)</f>
        <v>0</v>
      </c>
      <c r="J23" s="46">
        <f>'2'!E31</f>
        <v>0</v>
      </c>
      <c r="K23" s="39" t="s">
        <v>35</v>
      </c>
    </row>
    <row r="24" spans="1:15">
      <c r="A24" s="33" t="s">
        <v>43</v>
      </c>
      <c r="B24" s="31"/>
      <c r="C24" s="31"/>
      <c r="D24" s="31"/>
      <c r="E24" s="31"/>
      <c r="F24" s="31"/>
      <c r="G24" s="31"/>
      <c r="H24" s="31"/>
      <c r="I24" s="34"/>
      <c r="J24" s="45">
        <f>SUM(J20:J23)</f>
        <v>3262.9103999999998</v>
      </c>
      <c r="K24" s="34" t="s">
        <v>35</v>
      </c>
      <c r="L24" s="80"/>
    </row>
    <row r="25" spans="1:15">
      <c r="A25" s="31"/>
      <c r="B25" s="31"/>
      <c r="C25" s="31"/>
      <c r="D25" s="31"/>
      <c r="E25" s="31"/>
      <c r="F25" s="31"/>
      <c r="G25" s="31"/>
      <c r="H25" s="31"/>
      <c r="I25" s="2"/>
      <c r="J25" s="37"/>
      <c r="K25" s="34"/>
    </row>
    <row r="26" spans="1:15">
      <c r="A26" s="38" t="s">
        <v>41</v>
      </c>
      <c r="B26" s="38"/>
      <c r="C26" s="38"/>
      <c r="D26" s="38"/>
      <c r="E26" s="38"/>
      <c r="F26" s="38"/>
      <c r="G26" s="38"/>
      <c r="H26" s="38"/>
      <c r="I26" s="64" t="s">
        <v>74</v>
      </c>
      <c r="J26" s="46">
        <f>'2'!E37</f>
        <v>748.65666400000009</v>
      </c>
      <c r="K26" s="39" t="s">
        <v>35</v>
      </c>
    </row>
    <row r="27" spans="1:15">
      <c r="A27" s="33" t="s">
        <v>8</v>
      </c>
      <c r="B27" s="31"/>
      <c r="C27" s="31"/>
      <c r="D27" s="31"/>
      <c r="E27" s="31"/>
      <c r="F27" s="31"/>
      <c r="G27" s="31"/>
      <c r="H27" s="31"/>
      <c r="J27" s="45">
        <f>J24+J26</f>
        <v>4011.5670639999998</v>
      </c>
      <c r="K27" s="34" t="s">
        <v>35</v>
      </c>
    </row>
    <row r="29" spans="1:15" ht="15.6">
      <c r="A29" s="136" t="s">
        <v>98</v>
      </c>
      <c r="B29" s="136"/>
      <c r="C29" s="136"/>
      <c r="D29" s="136"/>
      <c r="E29" s="136"/>
      <c r="F29" s="90"/>
      <c r="G29" s="90"/>
      <c r="H29" s="91"/>
      <c r="I29" s="91"/>
      <c r="J29" s="91" t="s">
        <v>34</v>
      </c>
      <c r="K29" s="91" t="s">
        <v>33</v>
      </c>
    </row>
    <row r="30" spans="1:15">
      <c r="A30" s="31" t="s">
        <v>97</v>
      </c>
      <c r="B30" s="31"/>
      <c r="C30" s="31"/>
      <c r="D30" s="31"/>
      <c r="E30" s="31"/>
      <c r="F30" s="31"/>
      <c r="G30" s="31"/>
      <c r="H30" s="45"/>
      <c r="I30" s="45"/>
      <c r="J30" s="45">
        <f>J14</f>
        <v>15985</v>
      </c>
      <c r="K30" s="34" t="s">
        <v>35</v>
      </c>
    </row>
    <row r="31" spans="1:15">
      <c r="A31" s="31" t="s">
        <v>100</v>
      </c>
      <c r="B31" s="31"/>
      <c r="C31" s="31"/>
      <c r="D31" s="31"/>
      <c r="E31" s="31"/>
      <c r="F31" s="31"/>
      <c r="G31" s="31"/>
      <c r="H31" s="45"/>
      <c r="I31" s="45"/>
      <c r="J31" s="116">
        <f>IF(I11&lt;1,T16,T16*I11)</f>
        <v>3403.8</v>
      </c>
      <c r="K31" s="34" t="s">
        <v>35</v>
      </c>
      <c r="L31" s="117" t="s">
        <v>34</v>
      </c>
    </row>
    <row r="32" spans="1:15">
      <c r="A32" s="38" t="s">
        <v>44</v>
      </c>
      <c r="B32" s="38"/>
      <c r="C32" s="38"/>
      <c r="D32" s="38"/>
      <c r="E32" s="38"/>
      <c r="F32" s="38"/>
      <c r="G32" s="38"/>
      <c r="H32" s="46"/>
      <c r="I32" s="46"/>
      <c r="J32" s="46">
        <f>J27</f>
        <v>4011.5670639999998</v>
      </c>
      <c r="K32" s="39" t="s">
        <v>35</v>
      </c>
      <c r="N32" s="2"/>
    </row>
    <row r="33" spans="1:19">
      <c r="A33" s="33" t="s">
        <v>99</v>
      </c>
      <c r="B33" s="31"/>
      <c r="C33" s="31"/>
      <c r="D33" s="31"/>
      <c r="E33" s="31"/>
      <c r="F33" s="31"/>
      <c r="G33" s="31"/>
      <c r="H33" s="45"/>
      <c r="I33" s="45"/>
      <c r="J33" s="45">
        <f>SUM(J30:J32)</f>
        <v>23400.367063999998</v>
      </c>
      <c r="K33" s="34" t="s">
        <v>35</v>
      </c>
      <c r="M33" s="145" t="s">
        <v>122</v>
      </c>
      <c r="N33" s="145"/>
      <c r="O33" s="145"/>
      <c r="P33" s="145"/>
      <c r="Q33" s="145"/>
    </row>
    <row r="34" spans="1:19" ht="20.25" customHeight="1">
      <c r="A34" s="33"/>
      <c r="B34" s="31"/>
      <c r="C34" s="31"/>
      <c r="D34" s="31"/>
      <c r="E34" s="31"/>
      <c r="F34" s="31"/>
      <c r="G34" s="31"/>
      <c r="H34" s="37"/>
      <c r="I34" s="37"/>
      <c r="J34" s="37"/>
      <c r="K34" s="34"/>
      <c r="M34" s="146"/>
      <c r="N34" s="146"/>
      <c r="O34" s="146"/>
      <c r="P34" s="146"/>
      <c r="Q34" s="146"/>
    </row>
    <row r="35" spans="1:19" ht="15" customHeight="1">
      <c r="A35" s="161" t="s">
        <v>102</v>
      </c>
      <c r="B35" s="162"/>
      <c r="C35" s="162"/>
      <c r="D35" s="162"/>
      <c r="E35" s="162"/>
      <c r="F35" s="162"/>
      <c r="G35" s="162"/>
      <c r="H35" s="162"/>
      <c r="I35" s="162"/>
      <c r="J35" s="162"/>
      <c r="K35" s="163"/>
      <c r="M35" s="141" t="s">
        <v>46</v>
      </c>
      <c r="N35" s="143" t="s">
        <v>77</v>
      </c>
      <c r="O35" s="152" t="s">
        <v>118</v>
      </c>
      <c r="P35" s="154" t="s">
        <v>119</v>
      </c>
      <c r="Q35" s="150" t="s">
        <v>120</v>
      </c>
    </row>
    <row r="36" spans="1:19" ht="17.25" customHeight="1">
      <c r="A36" s="60" t="s">
        <v>46</v>
      </c>
      <c r="B36" s="132" t="s">
        <v>77</v>
      </c>
      <c r="C36" s="133"/>
      <c r="D36" s="134"/>
      <c r="E36" s="7" t="s">
        <v>1</v>
      </c>
      <c r="F36" s="132" t="s">
        <v>78</v>
      </c>
      <c r="G36" s="134"/>
      <c r="H36" s="5" t="s">
        <v>75</v>
      </c>
      <c r="I36" s="73" t="s">
        <v>8</v>
      </c>
      <c r="J36" s="140" t="s">
        <v>76</v>
      </c>
      <c r="K36" s="140"/>
      <c r="M36" s="142"/>
      <c r="N36" s="144"/>
      <c r="O36" s="153"/>
      <c r="P36" s="155"/>
      <c r="Q36" s="151"/>
    </row>
    <row r="37" spans="1:19">
      <c r="A37" s="60">
        <v>1</v>
      </c>
      <c r="B37" s="132" t="str">
        <f>+'2'!$C$11</f>
        <v>Productos variados</v>
      </c>
      <c r="C37" s="133"/>
      <c r="D37" s="134"/>
      <c r="E37" s="7">
        <f>+'2'!$C$52</f>
        <v>110182</v>
      </c>
      <c r="F37" s="159">
        <f>+'2'!$C$15</f>
        <v>7.2539071717703435E-2</v>
      </c>
      <c r="G37" s="160"/>
      <c r="H37" s="74">
        <f>+'2'!$C$53</f>
        <v>0.10618960930097475</v>
      </c>
      <c r="I37" s="74">
        <f t="shared" ref="I37" si="0">+E37*H37</f>
        <v>11700.183531999999</v>
      </c>
      <c r="J37" s="140">
        <f>H37*3.8</f>
        <v>0.40352051534370403</v>
      </c>
      <c r="K37" s="140"/>
      <c r="M37" s="60">
        <v>1</v>
      </c>
      <c r="N37" s="105" t="str">
        <f>+B37</f>
        <v>Productos variados</v>
      </c>
      <c r="O37" s="108">
        <f>+F37</f>
        <v>7.2539071717703435E-2</v>
      </c>
      <c r="P37" s="74">
        <f>+H37</f>
        <v>0.10618960930097475</v>
      </c>
      <c r="Q37" s="111">
        <f>P37*3.8</f>
        <v>0.40352051534370403</v>
      </c>
    </row>
    <row r="38" spans="1:19" ht="15.6">
      <c r="A38" s="65" t="s">
        <v>8</v>
      </c>
      <c r="B38" s="2"/>
      <c r="C38" s="2"/>
      <c r="D38" s="2"/>
      <c r="E38" s="43">
        <f>+SUM(E37:E37)</f>
        <v>110182</v>
      </c>
      <c r="F38" s="2"/>
      <c r="G38" s="2"/>
      <c r="I38" s="75">
        <f>+SUM(I37:I37)</f>
        <v>11700.183531999999</v>
      </c>
      <c r="J38" s="76"/>
      <c r="K38" s="77"/>
      <c r="L38" s="2"/>
    </row>
    <row r="39" spans="1:19" ht="15.6">
      <c r="A39" s="65"/>
      <c r="B39" s="2"/>
      <c r="C39" s="2"/>
      <c r="D39" s="2"/>
      <c r="E39" s="43"/>
      <c r="F39" s="2"/>
      <c r="G39" s="2"/>
      <c r="I39" s="95"/>
      <c r="J39" s="76"/>
      <c r="K39" s="77"/>
      <c r="M39" s="164" t="s">
        <v>121</v>
      </c>
      <c r="N39" s="164"/>
      <c r="O39" s="164"/>
      <c r="P39" s="165" t="s">
        <v>129</v>
      </c>
    </row>
    <row r="40" spans="1:19" ht="18">
      <c r="A40" s="93" t="s">
        <v>53</v>
      </c>
      <c r="B40" s="31"/>
      <c r="C40" s="31"/>
      <c r="D40" s="31"/>
      <c r="E40" s="31"/>
      <c r="F40" s="31"/>
      <c r="G40" s="31"/>
      <c r="H40" s="31"/>
      <c r="I40" s="31"/>
      <c r="J40" s="31"/>
      <c r="M40" s="164"/>
      <c r="N40" s="164"/>
      <c r="O40" s="164"/>
      <c r="P40" s="166"/>
      <c r="Q40" s="110"/>
    </row>
    <row r="41" spans="1:19" ht="21">
      <c r="A41" s="94" t="s">
        <v>92</v>
      </c>
      <c r="B41" s="31"/>
      <c r="C41" s="31"/>
      <c r="D41" s="31"/>
      <c r="E41" s="31"/>
      <c r="F41" s="31"/>
      <c r="G41" s="31"/>
      <c r="H41" s="31"/>
      <c r="I41" s="31"/>
      <c r="J41" s="31"/>
      <c r="M41" s="167" t="s">
        <v>123</v>
      </c>
      <c r="N41" s="168"/>
      <c r="O41" s="112">
        <f>+J31</f>
        <v>3403.8</v>
      </c>
      <c r="P41" s="109" t="s">
        <v>125</v>
      </c>
    </row>
    <row r="42" spans="1:19" ht="21">
      <c r="A42" s="94" t="s">
        <v>93</v>
      </c>
      <c r="B42" s="31"/>
      <c r="C42" s="31"/>
      <c r="D42" s="31"/>
      <c r="E42" s="31"/>
      <c r="F42" s="31"/>
      <c r="G42" s="31"/>
      <c r="H42" s="31"/>
      <c r="I42" s="31"/>
      <c r="J42" s="31"/>
      <c r="M42" s="167" t="s">
        <v>124</v>
      </c>
      <c r="N42" s="168"/>
      <c r="O42" s="112">
        <f>+J32</f>
        <v>4011.5670639999998</v>
      </c>
      <c r="P42" s="109" t="s">
        <v>126</v>
      </c>
    </row>
    <row r="43" spans="1:19" ht="18">
      <c r="A43" s="94" t="s">
        <v>111</v>
      </c>
      <c r="B43" s="31"/>
      <c r="C43" s="31"/>
      <c r="D43" s="31"/>
      <c r="E43" s="31"/>
      <c r="F43" s="31"/>
      <c r="G43" s="31"/>
      <c r="H43" s="31"/>
      <c r="I43" s="31"/>
      <c r="J43" s="31"/>
    </row>
    <row r="44" spans="1:19" ht="18">
      <c r="A44" s="94" t="s">
        <v>94</v>
      </c>
      <c r="B44" s="31"/>
      <c r="C44" s="31"/>
      <c r="D44" s="31"/>
      <c r="E44" s="31"/>
      <c r="F44" s="31"/>
      <c r="G44" s="31"/>
      <c r="H44" s="31"/>
      <c r="I44" s="31"/>
      <c r="J44" s="31"/>
      <c r="M44" s="169" t="s">
        <v>128</v>
      </c>
      <c r="N44" s="169"/>
      <c r="O44" s="170">
        <f>+O41+O42</f>
        <v>7415.367064</v>
      </c>
      <c r="P44" s="172" t="s">
        <v>127</v>
      </c>
      <c r="Q44" s="173"/>
      <c r="S44" s="129"/>
    </row>
    <row r="45" spans="1:19" ht="18.75" customHeight="1">
      <c r="A45" s="94" t="s">
        <v>112</v>
      </c>
      <c r="B45" s="31"/>
      <c r="C45" s="31"/>
      <c r="D45" s="31"/>
      <c r="E45" s="31"/>
      <c r="F45" s="31"/>
      <c r="G45" s="31"/>
      <c r="H45" s="31"/>
      <c r="I45" s="31"/>
      <c r="J45" s="31"/>
      <c r="M45" s="169"/>
      <c r="N45" s="169"/>
      <c r="O45" s="171"/>
      <c r="P45" s="172"/>
      <c r="Q45" s="173"/>
      <c r="S45" s="129"/>
    </row>
    <row r="46" spans="1:19" ht="18.75" customHeight="1">
      <c r="A46" s="94" t="s">
        <v>113</v>
      </c>
      <c r="B46" s="31"/>
      <c r="C46" s="31"/>
      <c r="D46" s="31"/>
      <c r="E46" s="31"/>
      <c r="F46" s="31"/>
      <c r="G46" s="31"/>
      <c r="H46" s="31"/>
      <c r="I46" s="31"/>
      <c r="J46" s="31"/>
      <c r="S46" s="129"/>
    </row>
    <row r="47" spans="1:19" ht="18">
      <c r="A47" s="94" t="s">
        <v>114</v>
      </c>
      <c r="B47" s="31"/>
      <c r="C47" s="31"/>
      <c r="D47" s="31"/>
      <c r="E47" s="31"/>
      <c r="F47" s="31"/>
      <c r="G47" s="31"/>
      <c r="H47" s="31"/>
      <c r="I47" s="31"/>
      <c r="J47" s="31"/>
      <c r="S47" s="129"/>
    </row>
    <row r="48" spans="1:19" ht="18">
      <c r="A48" s="94" t="s">
        <v>110</v>
      </c>
      <c r="B48" s="31"/>
      <c r="C48" s="31"/>
      <c r="D48" s="31"/>
      <c r="E48" s="31"/>
      <c r="F48" s="31"/>
      <c r="G48" s="31"/>
      <c r="H48" s="31"/>
      <c r="I48" s="31"/>
      <c r="J48" s="31"/>
      <c r="S48" s="129"/>
    </row>
    <row r="49" spans="1:19">
      <c r="A49" s="31"/>
      <c r="B49" s="31"/>
      <c r="C49" s="31"/>
      <c r="D49" s="31"/>
      <c r="E49" s="31"/>
      <c r="F49" s="31"/>
      <c r="G49" s="31"/>
      <c r="H49" s="31"/>
      <c r="I49" s="31"/>
      <c r="J49" s="31"/>
      <c r="S49" s="129"/>
    </row>
    <row r="51" spans="1:19" ht="18">
      <c r="H51" s="32"/>
      <c r="I51" s="32"/>
      <c r="J51" s="32"/>
      <c r="K51" s="31"/>
    </row>
    <row r="52" spans="1:19" ht="18">
      <c r="H52" s="32"/>
      <c r="I52" s="32"/>
      <c r="J52" s="32"/>
      <c r="K52" s="31"/>
    </row>
    <row r="54" spans="1:19">
      <c r="H54" s="40"/>
      <c r="I54" s="40"/>
      <c r="J54" s="40"/>
    </row>
    <row r="56" spans="1:19" ht="21">
      <c r="A56" s="156" t="s">
        <v>45</v>
      </c>
      <c r="B56" s="156"/>
      <c r="C56" s="156"/>
      <c r="D56" s="156"/>
      <c r="E56" s="156"/>
      <c r="F56" s="156"/>
      <c r="G56" s="156"/>
      <c r="H56" s="156"/>
      <c r="I56" s="156"/>
      <c r="J56" s="156"/>
      <c r="K56" s="156"/>
    </row>
    <row r="60" spans="1:19">
      <c r="A60" s="51" t="s">
        <v>47</v>
      </c>
      <c r="B60" s="31"/>
      <c r="C60" s="31"/>
      <c r="D60" s="31"/>
    </row>
    <row r="61" spans="1:19">
      <c r="A61" s="51" t="s">
        <v>56</v>
      </c>
      <c r="B61" s="31"/>
      <c r="C61" s="31"/>
      <c r="D61" s="31"/>
    </row>
    <row r="62" spans="1:19">
      <c r="A62" s="31" t="s">
        <v>55</v>
      </c>
      <c r="C62" s="31"/>
      <c r="D62" s="31"/>
    </row>
    <row r="63" spans="1:19">
      <c r="A63" s="51" t="s">
        <v>48</v>
      </c>
      <c r="B63" s="31"/>
      <c r="C63" s="31"/>
      <c r="D63" s="31"/>
    </row>
    <row r="64" spans="1:19">
      <c r="A64" s="51" t="s">
        <v>58</v>
      </c>
      <c r="B64" s="31"/>
      <c r="C64" s="31"/>
      <c r="D64" s="31"/>
    </row>
    <row r="65" spans="1:10">
      <c r="A65" s="31" t="s">
        <v>57</v>
      </c>
      <c r="C65" s="31"/>
      <c r="D65" s="31"/>
    </row>
    <row r="66" spans="1:10">
      <c r="A66" s="51" t="s">
        <v>49</v>
      </c>
      <c r="B66" s="31"/>
      <c r="C66" s="31"/>
      <c r="D66" s="31"/>
    </row>
    <row r="67" spans="1:10">
      <c r="A67" s="51" t="s">
        <v>51</v>
      </c>
      <c r="B67" s="31"/>
      <c r="C67" s="31"/>
      <c r="D67" s="31"/>
    </row>
    <row r="68" spans="1:10">
      <c r="A68" s="51" t="s">
        <v>59</v>
      </c>
      <c r="B68" s="31"/>
      <c r="C68" s="31"/>
      <c r="D68" s="31"/>
    </row>
    <row r="69" spans="1:10">
      <c r="A69" s="51" t="s">
        <v>60</v>
      </c>
      <c r="B69" s="31"/>
      <c r="C69" s="31"/>
      <c r="D69" s="31"/>
    </row>
    <row r="70" spans="1:10">
      <c r="A70" s="51" t="s">
        <v>62</v>
      </c>
      <c r="B70" s="31"/>
      <c r="C70" s="31"/>
      <c r="D70" s="31"/>
    </row>
    <row r="71" spans="1:10">
      <c r="A71" s="51" t="s">
        <v>61</v>
      </c>
      <c r="B71" s="31"/>
      <c r="C71" s="31"/>
      <c r="D71" s="31"/>
    </row>
    <row r="72" spans="1:10">
      <c r="A72" s="51" t="s">
        <v>50</v>
      </c>
      <c r="B72" s="31"/>
      <c r="C72" s="31"/>
      <c r="D72" s="31"/>
    </row>
    <row r="73" spans="1:10">
      <c r="A73" s="51" t="s">
        <v>133</v>
      </c>
      <c r="B73" s="31"/>
      <c r="C73" s="31"/>
      <c r="D73" s="31"/>
    </row>
    <row r="77" spans="1:10">
      <c r="A77" s="51" t="s">
        <v>63</v>
      </c>
      <c r="B77" s="31"/>
      <c r="C77" s="31"/>
      <c r="D77" s="31"/>
      <c r="E77" s="31"/>
      <c r="F77" s="31"/>
      <c r="G77" s="31"/>
      <c r="H77" s="31"/>
      <c r="I77" s="31"/>
      <c r="J77" s="31"/>
    </row>
    <row r="78" spans="1:10">
      <c r="A78" s="114" t="s">
        <v>130</v>
      </c>
      <c r="B78" s="31"/>
      <c r="C78" s="31"/>
      <c r="D78" s="31"/>
      <c r="E78" s="31"/>
      <c r="F78" s="31"/>
      <c r="G78" s="31"/>
      <c r="H78" s="31"/>
      <c r="I78" s="31"/>
      <c r="J78" s="31"/>
    </row>
    <row r="79" spans="1:10">
      <c r="A79" s="51" t="s">
        <v>64</v>
      </c>
      <c r="B79" s="31"/>
      <c r="C79" s="31"/>
      <c r="D79" s="31"/>
      <c r="E79" s="31"/>
      <c r="F79" s="31"/>
      <c r="G79" s="31"/>
      <c r="H79" s="31"/>
      <c r="I79" s="31"/>
      <c r="J79" s="31"/>
    </row>
    <row r="80" spans="1:10">
      <c r="A80" s="113" t="s">
        <v>131</v>
      </c>
      <c r="C80" s="31"/>
      <c r="D80" s="31"/>
      <c r="E80" s="31"/>
      <c r="F80" s="31"/>
      <c r="G80" s="31"/>
      <c r="H80" s="31"/>
      <c r="I80" s="31"/>
      <c r="J80" s="31"/>
    </row>
    <row r="81" spans="1:10">
      <c r="A81" s="51" t="s">
        <v>65</v>
      </c>
      <c r="B81" s="31"/>
      <c r="C81" s="31"/>
      <c r="D81" s="31"/>
      <c r="E81" s="31"/>
      <c r="F81" s="31"/>
      <c r="G81" s="31"/>
      <c r="H81" s="31"/>
      <c r="I81" s="31"/>
      <c r="J81" s="31"/>
    </row>
    <row r="82" spans="1:10">
      <c r="A82" s="35" t="s">
        <v>52</v>
      </c>
      <c r="C82" s="31"/>
      <c r="D82" s="31"/>
      <c r="E82" s="31"/>
      <c r="F82" s="31"/>
      <c r="G82" s="31"/>
      <c r="H82" s="31"/>
      <c r="I82" s="31"/>
      <c r="J82" s="31"/>
    </row>
    <row r="83" spans="1:10">
      <c r="A83" s="51" t="s">
        <v>66</v>
      </c>
      <c r="B83" s="31"/>
      <c r="C83" s="31"/>
      <c r="D83" s="31"/>
      <c r="E83" s="31"/>
      <c r="F83" s="31"/>
      <c r="G83" s="31"/>
      <c r="H83" s="31"/>
      <c r="I83" s="31"/>
      <c r="J83" s="31"/>
    </row>
    <row r="84" spans="1:10">
      <c r="A84" s="51" t="s">
        <v>67</v>
      </c>
      <c r="B84" s="31"/>
      <c r="C84" s="31"/>
      <c r="D84" s="31"/>
      <c r="E84" s="31"/>
      <c r="F84" s="31"/>
      <c r="G84" s="31"/>
      <c r="H84" s="31"/>
      <c r="I84" s="31"/>
      <c r="J84" s="31"/>
    </row>
    <row r="85" spans="1:10">
      <c r="A85" s="51" t="s">
        <v>68</v>
      </c>
      <c r="B85" s="31"/>
      <c r="C85" s="31"/>
      <c r="D85" s="31"/>
      <c r="E85" s="31"/>
      <c r="F85" s="31"/>
      <c r="G85" s="31"/>
      <c r="H85" s="31"/>
      <c r="I85" s="31"/>
      <c r="J85" s="31"/>
    </row>
    <row r="86" spans="1:10">
      <c r="A86" s="51" t="s">
        <v>69</v>
      </c>
      <c r="B86" s="31"/>
      <c r="C86" s="31"/>
      <c r="D86" s="31"/>
      <c r="E86" s="31"/>
      <c r="F86" s="31"/>
      <c r="G86" s="31"/>
      <c r="H86" s="31"/>
      <c r="I86" s="31"/>
      <c r="J86" s="31"/>
    </row>
    <row r="87" spans="1:10">
      <c r="A87" s="51" t="s">
        <v>132</v>
      </c>
      <c r="B87" s="31"/>
      <c r="C87" s="31"/>
      <c r="D87" s="31"/>
      <c r="E87" s="31"/>
      <c r="F87" s="31"/>
      <c r="G87" s="31"/>
      <c r="H87" s="31"/>
      <c r="I87" s="31"/>
      <c r="J87" s="31"/>
    </row>
    <row r="91" spans="1:10">
      <c r="A91" s="51" t="s">
        <v>83</v>
      </c>
      <c r="B91" s="31"/>
      <c r="C91" s="31"/>
      <c r="D91" s="31"/>
    </row>
    <row r="92" spans="1:10">
      <c r="A92" s="51" t="s">
        <v>84</v>
      </c>
      <c r="B92" s="31"/>
      <c r="C92" s="31"/>
      <c r="D92" s="31"/>
    </row>
    <row r="93" spans="1:10">
      <c r="A93" s="41" t="s">
        <v>134</v>
      </c>
      <c r="B93" s="31"/>
      <c r="C93" s="31"/>
      <c r="D93" s="31"/>
    </row>
    <row r="94" spans="1:10">
      <c r="A94" s="41" t="s">
        <v>135</v>
      </c>
    </row>
    <row r="95" spans="1:10">
      <c r="A95" s="41" t="s">
        <v>136</v>
      </c>
    </row>
    <row r="100" spans="2:10">
      <c r="B100" s="41"/>
    </row>
    <row r="101" spans="2:10" ht="15.6">
      <c r="B101" s="42"/>
    </row>
    <row r="102" spans="2:10" ht="15.6">
      <c r="B102" s="42"/>
    </row>
    <row r="104" spans="2:10">
      <c r="C104" s="43"/>
      <c r="H104" s="43"/>
      <c r="I104" s="43"/>
      <c r="J104" s="43"/>
    </row>
    <row r="105" spans="2:10">
      <c r="C105" s="43"/>
      <c r="H105" s="43"/>
      <c r="I105" s="43"/>
      <c r="J105" s="43"/>
    </row>
    <row r="107" spans="2:10">
      <c r="C107" s="2"/>
      <c r="H107" s="2"/>
      <c r="I107" s="2"/>
      <c r="J107" s="2"/>
    </row>
    <row r="109" spans="2:10" ht="15.6">
      <c r="B109" s="44"/>
    </row>
  </sheetData>
  <sheetProtection selectLockedCells="1"/>
  <mergeCells count="35">
    <mergeCell ref="M39:O40"/>
    <mergeCell ref="S44:S49"/>
    <mergeCell ref="P39:P40"/>
    <mergeCell ref="M41:N41"/>
    <mergeCell ref="M42:N42"/>
    <mergeCell ref="M44:N45"/>
    <mergeCell ref="O44:O45"/>
    <mergeCell ref="P44:Q45"/>
    <mergeCell ref="A56:K56"/>
    <mergeCell ref="J37:K37"/>
    <mergeCell ref="A15:C15"/>
    <mergeCell ref="A14:C14"/>
    <mergeCell ref="B37:D37"/>
    <mergeCell ref="F37:G37"/>
    <mergeCell ref="F36:G36"/>
    <mergeCell ref="A35:K35"/>
    <mergeCell ref="M35:M36"/>
    <mergeCell ref="N35:N36"/>
    <mergeCell ref="M33:Q34"/>
    <mergeCell ref="Y11:Y16"/>
    <mergeCell ref="E9:F9"/>
    <mergeCell ref="Q35:Q36"/>
    <mergeCell ref="O35:O36"/>
    <mergeCell ref="P35:P36"/>
    <mergeCell ref="F3:I3"/>
    <mergeCell ref="F4:I4"/>
    <mergeCell ref="D7:F7"/>
    <mergeCell ref="B36:D36"/>
    <mergeCell ref="I11:K11"/>
    <mergeCell ref="A29:E29"/>
    <mergeCell ref="A13:E13"/>
    <mergeCell ref="A19:E19"/>
    <mergeCell ref="I8:K8"/>
    <mergeCell ref="I9:K9"/>
    <mergeCell ref="J36:K36"/>
  </mergeCells>
  <dataValidations count="3">
    <dataValidation type="custom" showInputMessage="1" showErrorMessage="1" errorTitle="COMPROBAR CANTIDAD DE CAJAS" error="Se debe ingresar la cantidad de cajas" sqref="I11" xr:uid="{3C2F8455-5D0D-41B0-BE98-F91BBC4383D3}">
      <formula1>I8&gt;0</formula1>
    </dataValidation>
    <dataValidation type="custom" showInputMessage="1" showErrorMessage="1" errorTitle="NO TIENES AUTORIZACIÓN" error="Contraseña erronea_x000a_" promptTitle="RECUERDA" prompt="Recuerda que debes de tener autorización previa del supervisor o jefe directo para implementar esta tarifa a un cliente." sqref="T12" xr:uid="{FD66789D-741E-4C76-8709-ED8D7742AE36}">
      <formula1>(T8=263009)</formula1>
    </dataValidation>
    <dataValidation type="list" allowBlank="1" showInputMessage="1" showErrorMessage="1" sqref="E11" xr:uid="{543061A4-B74B-4C59-A4B0-2AF20D851021}">
      <formula1>$W$4:$W$8</formula1>
    </dataValidation>
  </dataValidations>
  <hyperlinks>
    <hyperlink ref="B10" r:id="rId1" xr:uid="{74621346-6590-475F-AABF-E18D2535E0A6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2" fitToWidth="2" fitToHeight="2" orientation="portrait" horizontalDpi="360" verticalDpi="360" r:id="rId2"/>
  <rowBreaks count="1" manualBreakCount="1">
    <brk id="49" max="10" man="1"/>
  </rowBreaks>
  <cellWatches>
    <cellWatch r="J16"/>
  </cellWatches>
  <ignoredErrors>
    <ignoredError sqref="I26" numberStoredAsText="1"/>
  </ignoredError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5" name="Button 1">
              <controlPr defaultSize="0" print="0" autoFill="0" autoPict="0" macro="[0]!fgdfg">
                <anchor moveWithCells="1" sizeWithCells="1">
                  <from>
                    <xdr:col>17</xdr:col>
                    <xdr:colOff>213360</xdr:colOff>
                    <xdr:row>2</xdr:row>
                    <xdr:rowOff>213360</xdr:rowOff>
                  </from>
                  <to>
                    <xdr:col>18</xdr:col>
                    <xdr:colOff>472440</xdr:colOff>
                    <xdr:row>5</xdr:row>
                    <xdr:rowOff>60960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54"/>
  <sheetViews>
    <sheetView topLeftCell="A18" zoomScale="138" zoomScaleNormal="110" workbookViewId="0">
      <selection activeCell="E36" sqref="E36"/>
    </sheetView>
  </sheetViews>
  <sheetFormatPr baseColWidth="10" defaultRowHeight="14.4"/>
  <cols>
    <col min="1" max="1" width="2.77734375" style="1" customWidth="1"/>
    <col min="2" max="2" width="19.44140625" style="1" customWidth="1"/>
    <col min="3" max="4" width="11.33203125" style="2" customWidth="1"/>
    <col min="5" max="6" width="11.44140625" style="2"/>
    <col min="7" max="7" width="11.33203125" style="2" customWidth="1"/>
    <col min="8" max="9" width="11.44140625" style="2"/>
    <col min="10" max="10" width="13.44140625" style="2" bestFit="1" customWidth="1"/>
    <col min="11" max="11" width="11.44140625" style="2" customWidth="1"/>
    <col min="12" max="12" width="14" style="2" customWidth="1"/>
    <col min="13" max="13" width="11.77734375" style="2" bestFit="1" customWidth="1"/>
    <col min="14" max="48" width="11.44140625" style="1"/>
  </cols>
  <sheetData>
    <row r="1" spans="2:48" ht="15" thickBot="1">
      <c r="B1" s="175" t="s">
        <v>12</v>
      </c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7"/>
    </row>
    <row r="2" spans="2:48" s="1" customFormat="1" ht="34.950000000000003" customHeight="1"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2:48" s="1" customFormat="1" ht="22.95" customHeight="1">
      <c r="B3" s="43"/>
      <c r="C3" s="43" t="s">
        <v>144</v>
      </c>
      <c r="D3" s="43"/>
      <c r="E3" s="119" t="s">
        <v>139</v>
      </c>
      <c r="F3" s="43"/>
      <c r="G3" s="43"/>
      <c r="H3" s="43"/>
      <c r="I3" s="43"/>
      <c r="J3" s="43"/>
      <c r="K3" s="43"/>
      <c r="L3" s="43"/>
      <c r="M3" s="43"/>
    </row>
    <row r="4" spans="2:48">
      <c r="B4" s="115" t="s">
        <v>137</v>
      </c>
      <c r="C4" s="124">
        <v>1</v>
      </c>
      <c r="D4" s="124">
        <v>2</v>
      </c>
      <c r="E4" s="119">
        <f>COUNT(C4:C4)</f>
        <v>1</v>
      </c>
      <c r="F4" s="43"/>
      <c r="G4" s="43"/>
      <c r="H4" s="43"/>
      <c r="I4" s="43"/>
      <c r="J4" s="43"/>
      <c r="K4" s="43"/>
      <c r="L4" s="43"/>
      <c r="M4" s="43"/>
    </row>
    <row r="5" spans="2:48">
      <c r="B5" s="115" t="s">
        <v>30</v>
      </c>
      <c r="C5" s="125">
        <v>83</v>
      </c>
      <c r="D5" s="125">
        <v>10</v>
      </c>
      <c r="E5" s="119">
        <f>SUM(C5:C5)</f>
        <v>83</v>
      </c>
    </row>
    <row r="6" spans="2:48">
      <c r="B6" s="115" t="s">
        <v>95</v>
      </c>
      <c r="C6" s="125">
        <v>1370.4</v>
      </c>
      <c r="D6" s="125">
        <v>100</v>
      </c>
      <c r="E6" s="119">
        <f t="shared" ref="E6:E7" si="0">SUM(C6:D7)</f>
        <v>1470.4</v>
      </c>
    </row>
    <row r="7" spans="2:48">
      <c r="B7" s="106" t="s">
        <v>73</v>
      </c>
      <c r="C7" s="120">
        <v>0</v>
      </c>
      <c r="D7" s="181">
        <v>0</v>
      </c>
      <c r="E7"/>
    </row>
    <row r="8" spans="2:48">
      <c r="B8" s="115" t="s">
        <v>138</v>
      </c>
      <c r="C8" s="124">
        <v>9.7759999999999998</v>
      </c>
      <c r="D8" s="124">
        <v>1.57</v>
      </c>
      <c r="E8" s="119">
        <f>SUM(C8:D9)</f>
        <v>11.346</v>
      </c>
    </row>
    <row r="9" spans="2:48" s="1" customFormat="1">
      <c r="B9" s="122"/>
      <c r="C9" s="2"/>
      <c r="D9" s="2"/>
      <c r="E9" s="123"/>
      <c r="F9" s="2"/>
      <c r="G9" s="2"/>
      <c r="H9" s="2"/>
      <c r="I9" s="2"/>
      <c r="J9" s="2"/>
      <c r="K9" s="2"/>
      <c r="L9" s="2"/>
      <c r="M9" s="2"/>
    </row>
    <row r="10" spans="2:48">
      <c r="C10" s="121">
        <v>1</v>
      </c>
      <c r="D10" s="182">
        <v>2</v>
      </c>
    </row>
    <row r="11" spans="2:48" ht="15" customHeight="1">
      <c r="B11" s="103" t="s">
        <v>90</v>
      </c>
      <c r="C11" s="126" t="s">
        <v>140</v>
      </c>
      <c r="D11" s="121"/>
      <c r="E11" s="103" t="s">
        <v>8</v>
      </c>
    </row>
    <row r="12" spans="2:48" ht="15" customHeight="1">
      <c r="B12" s="5" t="s">
        <v>96</v>
      </c>
      <c r="C12" s="7"/>
      <c r="D12" s="7"/>
      <c r="E12" s="101">
        <f>SUM(C12:C12)</f>
        <v>0</v>
      </c>
    </row>
    <row r="13" spans="2:48" ht="15" customHeight="1">
      <c r="B13" s="5" t="s">
        <v>95</v>
      </c>
      <c r="C13" s="99"/>
      <c r="D13" s="99"/>
      <c r="E13" s="102">
        <f>SUM(C13:C13)</f>
        <v>0</v>
      </c>
    </row>
    <row r="14" spans="2:48" ht="15" customHeight="1">
      <c r="B14" s="5" t="s">
        <v>88</v>
      </c>
      <c r="C14" s="98"/>
      <c r="D14" s="98"/>
      <c r="E14" s="100">
        <f>SUM(C14:C14)</f>
        <v>0</v>
      </c>
      <c r="F14" s="1"/>
      <c r="I14" s="1"/>
      <c r="J14" s="1"/>
      <c r="K14" s="1"/>
      <c r="L14" s="1"/>
      <c r="M14" s="1"/>
      <c r="AO14"/>
      <c r="AP14"/>
      <c r="AQ14"/>
      <c r="AR14"/>
      <c r="AS14"/>
      <c r="AT14"/>
      <c r="AU14"/>
      <c r="AV14"/>
    </row>
    <row r="15" spans="2:48" ht="15" customHeight="1">
      <c r="B15" s="96" t="s">
        <v>0</v>
      </c>
      <c r="C15" s="97">
        <f>7992.5/C17</f>
        <v>7.2539071717703435E-2</v>
      </c>
      <c r="D15" s="97">
        <f>7992.5/D17</f>
        <v>7.2538413366853322E-2</v>
      </c>
      <c r="E15" s="1"/>
      <c r="F15" s="3"/>
      <c r="I15" s="3"/>
      <c r="J15" s="3"/>
      <c r="K15" s="3"/>
      <c r="L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AO15"/>
      <c r="AP15"/>
      <c r="AQ15"/>
      <c r="AR15"/>
      <c r="AS15"/>
      <c r="AT15"/>
      <c r="AU15"/>
      <c r="AV15"/>
    </row>
    <row r="16" spans="2:48" ht="15" hidden="1" customHeight="1">
      <c r="B16" s="55" t="s">
        <v>70</v>
      </c>
      <c r="C16" s="56"/>
      <c r="D16" s="56"/>
      <c r="E16" s="1"/>
      <c r="F16" s="3"/>
      <c r="H16" s="2" t="str">
        <f>'1'!E11</f>
        <v>NUEVO</v>
      </c>
      <c r="I16" s="3"/>
      <c r="J16" s="3"/>
      <c r="K16" s="3"/>
      <c r="L16" s="3"/>
      <c r="M16" s="50" t="s">
        <v>54</v>
      </c>
      <c r="N16" s="50" t="s">
        <v>54</v>
      </c>
      <c r="O16" s="87">
        <v>0.6</v>
      </c>
      <c r="P16" s="87">
        <v>0.4</v>
      </c>
      <c r="Q16" s="3"/>
      <c r="R16" s="3"/>
      <c r="S16" s="3"/>
      <c r="T16" s="3"/>
      <c r="U16" s="3"/>
      <c r="V16" s="3"/>
      <c r="W16" s="3"/>
      <c r="X16" s="3"/>
      <c r="AO16"/>
      <c r="AP16"/>
      <c r="AQ16"/>
      <c r="AR16"/>
      <c r="AS16"/>
      <c r="AT16"/>
      <c r="AU16"/>
      <c r="AV16"/>
    </row>
    <row r="17" spans="2:49">
      <c r="B17" s="28" t="s">
        <v>1</v>
      </c>
      <c r="C17" s="7">
        <v>110182</v>
      </c>
      <c r="D17" s="7">
        <v>110183</v>
      </c>
      <c r="E17" s="101">
        <f>SUM(C17:D17)</f>
        <v>220365</v>
      </c>
      <c r="F17" s="1"/>
      <c r="H17" s="1"/>
      <c r="I17" s="1"/>
      <c r="J17" s="1"/>
      <c r="K17" s="1"/>
      <c r="L17" s="7" t="str">
        <f>'1'!R10</f>
        <v>NUEVO</v>
      </c>
      <c r="M17" s="48">
        <f>'1'!S10</f>
        <v>3403.8</v>
      </c>
      <c r="N17" s="85">
        <f>'1'!T10</f>
        <v>300</v>
      </c>
      <c r="O17" s="3">
        <f>$O$16*M17</f>
        <v>2042.28</v>
      </c>
      <c r="AO17"/>
      <c r="AP17"/>
      <c r="AQ17"/>
      <c r="AR17"/>
      <c r="AS17"/>
      <c r="AT17"/>
      <c r="AU17"/>
      <c r="AV17"/>
    </row>
    <row r="18" spans="2:49">
      <c r="B18" s="17" t="s">
        <v>2</v>
      </c>
      <c r="C18" s="18">
        <f>C15*C17</f>
        <v>7992.5</v>
      </c>
      <c r="D18" s="18">
        <f>D15*D17</f>
        <v>7992.4999999999991</v>
      </c>
      <c r="E18" s="101">
        <f>SUM(C18:D18)</f>
        <v>15985</v>
      </c>
      <c r="F18" s="1"/>
      <c r="K18" s="1"/>
      <c r="L18" s="7" t="str">
        <f>'1'!R11</f>
        <v>ANTIGUO</v>
      </c>
      <c r="M18" s="48">
        <f>'1'!S11</f>
        <v>3176.88</v>
      </c>
      <c r="N18" s="85">
        <f>'1'!T11</f>
        <v>280</v>
      </c>
      <c r="O18" s="3">
        <f t="shared" ref="O18" si="1">$O$16*M18</f>
        <v>1906.1279999999999</v>
      </c>
      <c r="AO18"/>
      <c r="AP18"/>
      <c r="AQ18"/>
      <c r="AR18"/>
      <c r="AS18"/>
      <c r="AT18"/>
      <c r="AU18"/>
      <c r="AV18"/>
    </row>
    <row r="19" spans="2:49" ht="16.5" hidden="1" customHeight="1">
      <c r="B19" s="57" t="s">
        <v>2</v>
      </c>
      <c r="C19" s="58">
        <f>(MAX(C15:C16))*C17</f>
        <v>7992.5</v>
      </c>
      <c r="D19" s="58">
        <f>(MAX(D15:D16))*D17</f>
        <v>7992.4999999999991</v>
      </c>
      <c r="E19" s="58">
        <f>SUM(C19:C19)</f>
        <v>7992.5</v>
      </c>
      <c r="F19" s="1"/>
      <c r="K19" s="1"/>
      <c r="L19" s="7" t="str">
        <f>'1'!R12</f>
        <v>MANUAL</v>
      </c>
      <c r="M19" s="48">
        <f>'1'!S12</f>
        <v>0</v>
      </c>
      <c r="N19" s="85">
        <f>'1'!T12</f>
        <v>0</v>
      </c>
      <c r="O19" s="3">
        <f>$O$16*M19</f>
        <v>0</v>
      </c>
      <c r="AO19"/>
      <c r="AP19"/>
      <c r="AQ19"/>
      <c r="AR19"/>
      <c r="AS19"/>
      <c r="AT19"/>
      <c r="AU19"/>
      <c r="AV19"/>
    </row>
    <row r="20" spans="2:49" ht="15" customHeight="1">
      <c r="B20" s="5" t="s">
        <v>3</v>
      </c>
      <c r="C20" s="8">
        <f>C18/$E$18</f>
        <v>0.5</v>
      </c>
      <c r="D20" s="8">
        <f>D18/$E$18</f>
        <v>0.49999999999999994</v>
      </c>
      <c r="E20" s="7" t="s">
        <v>8</v>
      </c>
      <c r="F20" s="30"/>
      <c r="K20" s="1"/>
      <c r="L20" s="7" t="str">
        <f>'1'!R13</f>
        <v>SOCIO</v>
      </c>
      <c r="M20" s="48">
        <f>'1'!S13</f>
        <v>2836.5</v>
      </c>
      <c r="N20" s="85">
        <f>'1'!T13</f>
        <v>250</v>
      </c>
      <c r="O20" s="3">
        <f>$O$16*M20</f>
        <v>1701.8999999999999</v>
      </c>
      <c r="AO20"/>
      <c r="AP20"/>
      <c r="AQ20"/>
      <c r="AR20"/>
      <c r="AS20"/>
      <c r="AT20"/>
      <c r="AU20"/>
      <c r="AV20"/>
    </row>
    <row r="21" spans="2:49">
      <c r="B21" s="28" t="s">
        <v>4</v>
      </c>
      <c r="C21" s="6">
        <f>$E$21*C20</f>
        <v>1021.14</v>
      </c>
      <c r="D21" s="6">
        <f>$E$21*D20</f>
        <v>1021.1399999999999</v>
      </c>
      <c r="E21" s="29">
        <f>IF(M19=0,IF('1'!E11="NUEVO",'2'!M17*60%,IF('1'!E11="ANTIGUO",'2'!M18*60%,IF('1'!E11="SOCIO",60%*(250*'1'!I11),IF('1'!E11="PILOTO",60%*(250*'1'!I11),IF('2'!M19&gt;0,60%*(250*'1'!I11),IF('1'!E11="MANUAL",60%*(IF('1'!T12&gt;250,('1'!T12*'1'!I11),IF('1'!T12&lt;=250,(250*'1'!I11)))))))))),IF(N19&lt;=250,(250*'1'!I11)*60%,M19*60%))</f>
        <v>2042.28</v>
      </c>
      <c r="F21" s="87"/>
      <c r="G21" s="179"/>
      <c r="H21" s="49"/>
      <c r="I21" s="1"/>
      <c r="J21" s="1"/>
      <c r="K21" s="1"/>
      <c r="L21" s="7" t="str">
        <f>'1'!R14</f>
        <v>PILOTO</v>
      </c>
      <c r="M21" s="48">
        <f>'1'!S14</f>
        <v>2836.5</v>
      </c>
      <c r="N21" s="85">
        <f>'1'!T14</f>
        <v>250</v>
      </c>
      <c r="O21" s="3">
        <f>$O$16*M21</f>
        <v>1701.8999999999999</v>
      </c>
      <c r="AO21"/>
      <c r="AP21"/>
      <c r="AQ21"/>
      <c r="AR21"/>
      <c r="AS21"/>
      <c r="AT21"/>
      <c r="AU21"/>
      <c r="AV21"/>
    </row>
    <row r="22" spans="2:49">
      <c r="B22" s="17" t="s">
        <v>5</v>
      </c>
      <c r="C22" s="18">
        <f>C18+C21</f>
        <v>9013.64</v>
      </c>
      <c r="D22" s="18">
        <f>D18+D21</f>
        <v>9013.64</v>
      </c>
      <c r="E22" s="18">
        <f>SUM(C22:D22)</f>
        <v>18027.28</v>
      </c>
      <c r="F22" s="1"/>
      <c r="G22" s="179"/>
      <c r="H22" s="49"/>
      <c r="I22" s="1"/>
      <c r="J22" s="84" t="s">
        <v>87</v>
      </c>
      <c r="K22" s="84"/>
      <c r="L22" s="50">
        <f>250*60%</f>
        <v>150</v>
      </c>
      <c r="M22" s="50">
        <f>250*40%</f>
        <v>100</v>
      </c>
      <c r="N22" s="85"/>
      <c r="O22" s="3"/>
      <c r="AM22"/>
      <c r="AN22"/>
      <c r="AO22"/>
      <c r="AP22"/>
      <c r="AQ22"/>
      <c r="AR22"/>
      <c r="AS22"/>
      <c r="AT22"/>
      <c r="AU22"/>
      <c r="AV22"/>
    </row>
    <row r="23" spans="2:49" ht="14.25" hidden="1" customHeight="1">
      <c r="B23" s="57" t="s">
        <v>71</v>
      </c>
      <c r="C23" s="58">
        <f>C19+C21</f>
        <v>9013.64</v>
      </c>
      <c r="D23" s="58">
        <f>D19+D21</f>
        <v>9013.64</v>
      </c>
      <c r="E23" s="58">
        <f>SUM(C23:C23)</f>
        <v>9013.64</v>
      </c>
      <c r="F23" s="1"/>
      <c r="H23" s="49"/>
      <c r="I23" s="1"/>
      <c r="J23" s="30"/>
      <c r="K23" s="1"/>
      <c r="AO23"/>
      <c r="AP23"/>
      <c r="AQ23"/>
      <c r="AR23"/>
      <c r="AS23"/>
      <c r="AT23"/>
      <c r="AU23"/>
      <c r="AV23"/>
    </row>
    <row r="24" spans="2:49" ht="14.25" customHeight="1">
      <c r="B24" s="28" t="s">
        <v>6</v>
      </c>
      <c r="C24" s="6">
        <f>$E$24*C20</f>
        <v>50</v>
      </c>
      <c r="D24" s="6">
        <f>$E$24*D20</f>
        <v>49.999999999999993</v>
      </c>
      <c r="E24" s="29">
        <f>IF(E18&lt;5000,50,100)</f>
        <v>100</v>
      </c>
      <c r="F24" s="1"/>
      <c r="H24" s="49"/>
      <c r="I24" s="1"/>
      <c r="J24" s="1"/>
      <c r="K24" s="1"/>
      <c r="L24" s="1"/>
      <c r="M24" s="1"/>
      <c r="AO24"/>
      <c r="AP24"/>
      <c r="AQ24"/>
      <c r="AR24"/>
      <c r="AS24"/>
      <c r="AT24"/>
      <c r="AU24"/>
      <c r="AV24"/>
    </row>
    <row r="25" spans="2:49">
      <c r="B25" s="17" t="s">
        <v>7</v>
      </c>
      <c r="C25" s="18">
        <f t="shared" ref="C25:D25" si="2">C22+C24</f>
        <v>9063.64</v>
      </c>
      <c r="D25" s="18">
        <f t="shared" si="2"/>
        <v>9063.64</v>
      </c>
      <c r="E25" s="18">
        <f>SUM(C25:D25)</f>
        <v>18127.28</v>
      </c>
      <c r="F25" s="1"/>
      <c r="H25" s="49"/>
      <c r="I25" s="1"/>
      <c r="J25" s="1"/>
      <c r="K25" s="1"/>
      <c r="L25" s="1"/>
      <c r="M25" s="1"/>
      <c r="AO25"/>
      <c r="AP25"/>
      <c r="AQ25"/>
      <c r="AR25"/>
      <c r="AS25"/>
      <c r="AT25"/>
      <c r="AU25"/>
      <c r="AV25"/>
    </row>
    <row r="26" spans="2:49" ht="18.75" hidden="1" customHeight="1">
      <c r="B26" s="57" t="s">
        <v>72</v>
      </c>
      <c r="C26" s="58">
        <f>C23+C24</f>
        <v>9063.64</v>
      </c>
      <c r="D26" s="58"/>
      <c r="E26" s="58">
        <f>SUM(C26:C26)</f>
        <v>9063.64</v>
      </c>
      <c r="H26" s="49"/>
    </row>
    <row r="27" spans="2:49">
      <c r="H27" s="49"/>
    </row>
    <row r="28" spans="2:49">
      <c r="B28" s="174" t="s">
        <v>11</v>
      </c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</row>
    <row r="30" spans="2:49">
      <c r="C30" s="52"/>
      <c r="D30" s="183"/>
      <c r="N30" s="2"/>
      <c r="AW30" s="1"/>
    </row>
    <row r="31" spans="2:49">
      <c r="B31" s="53" t="s">
        <v>40</v>
      </c>
      <c r="C31" s="54">
        <f>C17*C30</f>
        <v>0</v>
      </c>
      <c r="D31" s="54"/>
      <c r="E31" s="54">
        <f>SUM(C31:C31)</f>
        <v>0</v>
      </c>
      <c r="N31" s="2"/>
      <c r="AW31" s="1"/>
    </row>
    <row r="33" spans="1:48">
      <c r="C33" s="11">
        <v>0</v>
      </c>
      <c r="D33" s="11">
        <v>0</v>
      </c>
      <c r="E33" s="9" t="s">
        <v>8</v>
      </c>
      <c r="F33" s="1"/>
      <c r="G33" s="1"/>
      <c r="H33" s="1"/>
      <c r="I33" s="180"/>
      <c r="J33" s="180"/>
      <c r="K33" s="1"/>
      <c r="L33" s="1"/>
      <c r="M33" s="1"/>
      <c r="AO33"/>
      <c r="AP33"/>
      <c r="AQ33"/>
      <c r="AR33"/>
      <c r="AS33"/>
      <c r="AT33"/>
      <c r="AU33"/>
      <c r="AV33"/>
    </row>
    <row r="34" spans="1:48">
      <c r="B34" s="9" t="s">
        <v>9</v>
      </c>
      <c r="C34" s="6">
        <f>MAX(C25:C26)*C33</f>
        <v>0</v>
      </c>
      <c r="D34" s="6"/>
      <c r="E34" s="10">
        <f>SUM(C34:C34)</f>
        <v>0</v>
      </c>
      <c r="F34" s="1"/>
      <c r="G34" s="1"/>
      <c r="H34" s="1"/>
      <c r="I34" s="180"/>
      <c r="J34" s="180"/>
      <c r="K34" s="1"/>
      <c r="L34" s="1"/>
      <c r="M34" s="1"/>
      <c r="AO34"/>
      <c r="AP34"/>
      <c r="AQ34"/>
      <c r="AR34"/>
      <c r="AS34"/>
      <c r="AT34"/>
      <c r="AU34"/>
      <c r="AV34"/>
    </row>
    <row r="35" spans="1:48" s="14" customFormat="1">
      <c r="A35" s="12"/>
      <c r="B35" s="16" t="s">
        <v>13</v>
      </c>
      <c r="C35" s="13">
        <f>((MAX(C25:C26))+C34)*16%</f>
        <v>1450.1823999999999</v>
      </c>
      <c r="D35" s="13">
        <f>((MAX(D25:D26))+D34)*16%</f>
        <v>1450.1823999999999</v>
      </c>
      <c r="E35" s="10">
        <f>SUM(C35:D35)</f>
        <v>2900.3647999999998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8" s="14" customFormat="1">
      <c r="A36" s="12"/>
      <c r="B36" s="16" t="s">
        <v>14</v>
      </c>
      <c r="C36" s="15">
        <f t="shared" ref="C36:D36" si="3">((MAX(C25:C26))+C34)*2%</f>
        <v>181.27279999999999</v>
      </c>
      <c r="D36" s="15">
        <f t="shared" si="3"/>
        <v>181.27279999999999</v>
      </c>
      <c r="E36" s="10">
        <f>SUM(C36:D36)</f>
        <v>362.54559999999998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8" s="14" customFormat="1">
      <c r="A37" s="12"/>
      <c r="B37" s="16" t="s">
        <v>10</v>
      </c>
      <c r="C37" s="15">
        <f t="shared" ref="C37:D37" si="4">(C25+C34+C35+C36)*3.5%</f>
        <v>374.32833200000005</v>
      </c>
      <c r="D37" s="15">
        <f t="shared" si="4"/>
        <v>374.32833200000005</v>
      </c>
      <c r="E37" s="10">
        <f>SUM(C37:D37)</f>
        <v>748.65666400000009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8">
      <c r="B38" s="19" t="s">
        <v>8</v>
      </c>
      <c r="C38" s="20">
        <f t="shared" ref="C38:D38" si="5">SUM(C34:C37)</f>
        <v>2005.7835319999999</v>
      </c>
      <c r="D38" s="20">
        <f t="shared" si="5"/>
        <v>2005.7835319999999</v>
      </c>
      <c r="E38" s="10">
        <f>SUM(C38:D38)</f>
        <v>4011.5670639999998</v>
      </c>
      <c r="F38" s="1"/>
      <c r="G38" s="1"/>
      <c r="H38" s="1"/>
      <c r="I38" s="1"/>
      <c r="J38" s="1"/>
      <c r="K38" s="1"/>
      <c r="L38" s="1"/>
      <c r="M38" s="1"/>
      <c r="AO38"/>
      <c r="AP38"/>
      <c r="AQ38"/>
      <c r="AR38"/>
      <c r="AS38"/>
      <c r="AT38"/>
      <c r="AU38"/>
      <c r="AV38"/>
    </row>
    <row r="39" spans="1:48">
      <c r="K39" s="1"/>
      <c r="L39" s="3"/>
      <c r="M39" s="1"/>
      <c r="AT39"/>
      <c r="AU39"/>
      <c r="AV39"/>
    </row>
    <row r="40" spans="1:48">
      <c r="P40" s="24" t="s">
        <v>21</v>
      </c>
      <c r="Q40" s="24">
        <v>3.7</v>
      </c>
    </row>
    <row r="42" spans="1:48">
      <c r="B42" s="178" t="s">
        <v>16</v>
      </c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</row>
    <row r="44" spans="1:48">
      <c r="C44" s="21">
        <f>+C20</f>
        <v>0.5</v>
      </c>
      <c r="D44" s="21">
        <f>+D20</f>
        <v>0.49999999999999994</v>
      </c>
      <c r="E44" s="7" t="s">
        <v>8</v>
      </c>
      <c r="F44" s="1"/>
      <c r="G44" s="1"/>
      <c r="H44" s="1"/>
      <c r="I44" s="1"/>
      <c r="J44" s="1"/>
      <c r="K44" s="1"/>
      <c r="L44" s="1"/>
      <c r="M44" s="1"/>
      <c r="AO44"/>
      <c r="AP44"/>
      <c r="AQ44"/>
      <c r="AR44"/>
      <c r="AS44"/>
      <c r="AT44"/>
      <c r="AU44"/>
      <c r="AV44"/>
    </row>
    <row r="45" spans="1:48">
      <c r="B45" s="28" t="s">
        <v>15</v>
      </c>
      <c r="C45" s="23">
        <f>$E$45*C44</f>
        <v>680.7600000000001</v>
      </c>
      <c r="D45" s="23">
        <f>$E$45*D44</f>
        <v>680.76</v>
      </c>
      <c r="E45" s="29">
        <f>IF(M19=0,IF('1'!E11="NUEVO",'2'!M17*40%,IF('1'!E11="ANTIGUO",'2'!M18*40%,IF('1'!E11="SOCIO",40%*(250*'1'!I11),IF('1'!E11="PILOTO",40%*(250*'1'!I11),IF('2'!M19&gt;0,40%*(250*'1'!I11),IF('1'!E11="MANUAL",40%*(IF('1'!T12&gt;250,('1'!T12*'1'!I11),IF('1'!T12&lt;=250,(250*'1'!I11)))))))))),IF(N19&lt;=250,(250*'1'!I11)*40%,M19*40%))</f>
        <v>1361.5200000000002</v>
      </c>
      <c r="F45" s="87"/>
      <c r="G45" s="1"/>
      <c r="H45" s="1"/>
      <c r="I45" s="1"/>
      <c r="J45" s="1"/>
      <c r="K45" s="1"/>
      <c r="L45" s="1"/>
      <c r="M45" s="1"/>
      <c r="AO45"/>
      <c r="AP45"/>
      <c r="AQ45"/>
      <c r="AR45"/>
      <c r="AS45"/>
      <c r="AT45"/>
      <c r="AU45"/>
      <c r="AV45"/>
    </row>
    <row r="46" spans="1:48" s="1" customFormat="1">
      <c r="C46" s="4"/>
      <c r="D46" s="4"/>
      <c r="E46" s="4"/>
      <c r="F46" s="4"/>
      <c r="G46" s="4"/>
      <c r="H46" s="4"/>
    </row>
    <row r="48" spans="1:48">
      <c r="B48" s="104" t="s">
        <v>17</v>
      </c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</row>
    <row r="50" spans="2:48">
      <c r="B50" s="27" t="s">
        <v>15</v>
      </c>
      <c r="C50" s="7" t="str">
        <f t="shared" ref="C50" si="6">C11</f>
        <v>Productos variados</v>
      </c>
      <c r="D50" s="183"/>
      <c r="F50" s="1"/>
      <c r="G50" s="1"/>
      <c r="H50" s="1"/>
      <c r="I50" s="1"/>
      <c r="J50" s="1"/>
      <c r="K50" s="1"/>
      <c r="L50" s="1"/>
      <c r="M50" s="1"/>
      <c r="AO50"/>
      <c r="AP50"/>
      <c r="AQ50"/>
      <c r="AR50"/>
      <c r="AS50"/>
      <c r="AT50"/>
      <c r="AU50"/>
      <c r="AV50"/>
    </row>
    <row r="51" spans="2:48">
      <c r="B51" s="28" t="s">
        <v>19</v>
      </c>
      <c r="C51" s="23">
        <f>C18+C38+C31+'2'!C20*('1'!$J$31)</f>
        <v>11700.183531999999</v>
      </c>
      <c r="D51" s="23">
        <f>D18+D38+D31+'2'!D20*('1'!$J$31)</f>
        <v>11700.183531999999</v>
      </c>
      <c r="E51" s="23">
        <f>SUM(C51:C51)</f>
        <v>11700.183531999999</v>
      </c>
      <c r="F51" s="1"/>
      <c r="G51" s="1"/>
      <c r="H51" s="1"/>
      <c r="I51" s="1"/>
      <c r="J51" s="1"/>
      <c r="K51" s="1"/>
      <c r="L51" s="1"/>
      <c r="M51" s="1"/>
      <c r="AO51"/>
      <c r="AP51"/>
      <c r="AQ51"/>
      <c r="AR51"/>
      <c r="AS51"/>
      <c r="AT51"/>
      <c r="AU51"/>
      <c r="AV51"/>
    </row>
    <row r="52" spans="2:48">
      <c r="B52" s="5" t="s">
        <v>1</v>
      </c>
      <c r="C52" s="25">
        <f>+C17</f>
        <v>110182</v>
      </c>
      <c r="D52" s="25">
        <f>+D17</f>
        <v>110183</v>
      </c>
      <c r="F52" s="1"/>
      <c r="G52" s="1"/>
      <c r="H52" s="1"/>
      <c r="I52" s="1"/>
      <c r="J52" s="1"/>
      <c r="K52" s="1"/>
      <c r="L52" s="1"/>
      <c r="M52" s="1"/>
      <c r="AO52"/>
      <c r="AP52"/>
      <c r="AQ52"/>
      <c r="AR52"/>
      <c r="AS52"/>
      <c r="AT52"/>
      <c r="AU52"/>
      <c r="AV52"/>
    </row>
    <row r="53" spans="2:48">
      <c r="B53" s="22" t="s">
        <v>18</v>
      </c>
      <c r="C53" s="23">
        <f t="shared" ref="C53:D53" si="7">C51/C52</f>
        <v>0.10618960930097475</v>
      </c>
      <c r="D53" s="23">
        <f t="shared" si="7"/>
        <v>0.10618864554423095</v>
      </c>
      <c r="F53" s="1"/>
      <c r="G53" s="1"/>
      <c r="H53" s="1"/>
      <c r="I53" s="1"/>
      <c r="J53" s="1"/>
      <c r="K53" s="1"/>
      <c r="L53" s="1"/>
      <c r="M53" s="1"/>
      <c r="AO53"/>
      <c r="AP53"/>
      <c r="AQ53"/>
      <c r="AR53"/>
      <c r="AS53"/>
      <c r="AT53"/>
      <c r="AU53"/>
      <c r="AV53"/>
    </row>
    <row r="54" spans="2:48">
      <c r="B54" s="5" t="s">
        <v>20</v>
      </c>
      <c r="C54" s="26">
        <f>C53*$Q$40</f>
        <v>0.39290155441360658</v>
      </c>
      <c r="D54" s="26">
        <f>D53*$Q$40</f>
        <v>0.39289798851365454</v>
      </c>
      <c r="F54" s="1"/>
      <c r="G54" s="1"/>
      <c r="H54" s="1"/>
      <c r="I54" s="1"/>
      <c r="J54" s="1"/>
      <c r="K54" s="1"/>
      <c r="L54" s="1"/>
      <c r="M54" s="1"/>
      <c r="AO54"/>
      <c r="AP54"/>
      <c r="AQ54"/>
      <c r="AR54"/>
      <c r="AS54"/>
      <c r="AT54"/>
      <c r="AU54"/>
      <c r="AV54"/>
    </row>
  </sheetData>
  <mergeCells count="5">
    <mergeCell ref="B28:M28"/>
    <mergeCell ref="B1:M1"/>
    <mergeCell ref="B42:M42"/>
    <mergeCell ref="G21:G22"/>
    <mergeCell ref="I33:J34"/>
  </mergeCells>
  <phoneticPr fontId="19" type="noConversion"/>
  <pageMargins left="0.7" right="0.7" top="0.75" bottom="0.75" header="0.3" footer="0.3"/>
  <pageSetup orientation="portrait" r:id="rId1"/>
  <cellWatches>
    <cellWatch r="E38"/>
  </cellWatche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1</vt:lpstr>
      <vt:lpstr>2</vt:lpstr>
      <vt:lpstr>'1'!Área_de_impresión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cp:lastPrinted>2024-04-16T15:59:00Z</cp:lastPrinted>
  <dcterms:created xsi:type="dcterms:W3CDTF">2022-02-19T20:43:21Z</dcterms:created>
  <dcterms:modified xsi:type="dcterms:W3CDTF">2025-03-20T13:20:35Z</dcterms:modified>
</cp:coreProperties>
</file>