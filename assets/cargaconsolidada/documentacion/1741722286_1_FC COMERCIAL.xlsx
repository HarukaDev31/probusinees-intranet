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guel/Desktop/SISTEMA/CONSOLIDADO/CASO PRUEBA/"/>
    </mc:Choice>
  </mc:AlternateContent>
  <xr:revisionPtr revIDLastSave="0" documentId="13_ncr:1_{62AE3878-BD9A-0F4B-AB09-F08FC54236D1}" xr6:coauthVersionLast="47" xr6:coauthVersionMax="47" xr10:uidLastSave="{00000000-0000-0000-0000-000000000000}"/>
  <bookViews>
    <workbookView xWindow="0" yWindow="760" windowWidth="25220" windowHeight="17900" activeTab="1" xr2:uid="{00000000-000D-0000-FFFF-FFFF00000000}"/>
  </bookViews>
  <sheets>
    <sheet name="C1" sheetId="12" r:id="rId1"/>
    <sheet name="C2" sheetId="13" r:id="rId2"/>
  </sheets>
  <definedNames>
    <definedName name="_xlnm.Print_Area" localSheetId="0">'C1'!$A$1:$Q$68</definedName>
    <definedName name="_xlnm.Print_Area" localSheetId="1">'C2'!$A$1:$Q$74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6" i="13" l="1"/>
  <c r="P58" i="13"/>
  <c r="P50" i="13"/>
  <c r="P67" i="13"/>
  <c r="P44" i="13"/>
  <c r="P28" i="13"/>
  <c r="P43" i="13"/>
  <c r="P52" i="13"/>
  <c r="P49" i="12"/>
  <c r="P42" i="13"/>
  <c r="P51" i="13"/>
  <c r="P35" i="12"/>
  <c r="P59" i="13"/>
  <c r="P61" i="13"/>
  <c r="P45" i="13"/>
  <c r="P58" i="12"/>
  <c r="P57" i="12"/>
  <c r="P41" i="12"/>
  <c r="P56" i="12"/>
  <c r="P53" i="13"/>
  <c r="P36" i="12"/>
  <c r="P55" i="12"/>
  <c r="P31" i="12"/>
  <c r="P63" i="13"/>
  <c r="P55" i="13"/>
  <c r="P47" i="13"/>
  <c r="P31" i="13"/>
  <c r="P65" i="13"/>
  <c r="P49" i="13"/>
  <c r="P41" i="13"/>
  <c r="P60" i="12"/>
  <c r="P44" i="12"/>
  <c r="P64" i="13"/>
  <c r="P56" i="13"/>
  <c r="P48" i="13"/>
  <c r="P40" i="13"/>
  <c r="P46" i="12"/>
  <c r="P54" i="13"/>
  <c r="P46" i="13"/>
  <c r="P61" i="12"/>
  <c r="P45" i="12"/>
  <c r="P26" i="12"/>
  <c r="P53" i="12"/>
  <c r="P29" i="12"/>
  <c r="P34" i="12"/>
  <c r="P40" i="12"/>
  <c r="P57" i="13"/>
  <c r="P59" i="12"/>
  <c r="P48" i="12"/>
  <c r="P50" i="12"/>
  <c r="P38" i="12"/>
  <c r="P52" i="12"/>
  <c r="P39" i="13"/>
  <c r="P51" i="12"/>
  <c r="P39" i="12"/>
  <c r="P33" i="12"/>
  <c r="P47" i="12"/>
  <c r="P28" i="12"/>
  <c r="P27" i="12"/>
  <c r="P27" i="13"/>
  <c r="P60" i="13"/>
  <c r="P37" i="12"/>
  <c r="P32" i="12"/>
  <c r="P43" i="12"/>
  <c r="P30" i="12" l="1"/>
  <c r="P54" i="12"/>
  <c r="P42" i="12"/>
  <c r="P30" i="13"/>
  <c r="P29" i="13"/>
  <c r="P32" i="13"/>
  <c r="P38" i="13"/>
  <c r="P37" i="13"/>
  <c r="P62" i="13"/>
  <c r="P26" i="13"/>
  <c r="P62" i="12" l="1"/>
  <c r="P33" i="13"/>
  <c r="P36" i="13"/>
  <c r="P35" i="13"/>
  <c r="P34" i="13"/>
  <c r="P68" i="13" l="1"/>
</calcChain>
</file>

<file path=xl/sharedStrings.xml><?xml version="1.0" encoding="utf-8"?>
<sst xmlns="http://schemas.openxmlformats.org/spreadsheetml/2006/main" count="408" uniqueCount="125">
  <si>
    <t>商业发票</t>
  </si>
  <si>
    <t>COMMERCIAL INVOICE</t>
  </si>
  <si>
    <t>SELLER</t>
  </si>
  <si>
    <t>Company:</t>
  </si>
  <si>
    <t>ADD:</t>
  </si>
  <si>
    <t># INVOICE:</t>
  </si>
  <si>
    <t xml:space="preserve">Phone: </t>
  </si>
  <si>
    <t>DATE:</t>
  </si>
  <si>
    <t xml:space="preserve">ATTN: </t>
  </si>
  <si>
    <t>TERMS:</t>
  </si>
  <si>
    <t>CREDITO</t>
  </si>
  <si>
    <t>BUYER:</t>
  </si>
  <si>
    <t>RUC:</t>
  </si>
  <si>
    <t>PHONE</t>
  </si>
  <si>
    <t>EMAIL:</t>
  </si>
  <si>
    <t>ITEM No°</t>
  </si>
  <si>
    <t>BRAND</t>
  </si>
  <si>
    <t>DESCRIPTION OF GOODS</t>
  </si>
  <si>
    <t>QUANTITY</t>
  </si>
  <si>
    <t>PRICE (USD)</t>
  </si>
  <si>
    <t>FOB PRICE (USD</t>
  </si>
  <si>
    <t>S/M</t>
  </si>
  <si>
    <t>TOTAL FOB PRICE</t>
  </si>
  <si>
    <t>0086 15355341017</t>
  </si>
  <si>
    <t>PRO MUNDO COMEX S.A.C.</t>
  </si>
  <si>
    <t>JR. ALEXANDER VON HUMBOLDT NRO.1091 DPTO.16 INT4 URB. EL PORVENIR LIMA-LIMA-LA VICTORIA</t>
  </si>
  <si>
    <t>+51 948 452 431</t>
  </si>
  <si>
    <t xml:space="preserve">COUNTRY OF ORIGINE: NINGBO , CHINA  </t>
  </si>
  <si>
    <t>INCOTERMS: FOB - NINGBO</t>
  </si>
  <si>
    <t>Bank Details:</t>
    <phoneticPr fontId="0" type="noConversion"/>
  </si>
  <si>
    <t>**</t>
    <phoneticPr fontId="0" type="noConversion"/>
  </si>
  <si>
    <t>City: YIWU</t>
    <phoneticPr fontId="0" type="noConversion"/>
  </si>
  <si>
    <t>Province: ZHEJIANG</t>
  </si>
  <si>
    <t>Country: CHINA</t>
  </si>
  <si>
    <t>PCS</t>
  </si>
  <si>
    <t>GLOBAL SHOP INTERNATIONAL COMPANY LIMITED</t>
  </si>
  <si>
    <t>ROOM 8038/E EASEY COMMERCTATBUILDING 253 - 261 HENNESSY ROAD WAN CHAI, HONG KONG</t>
  </si>
  <si>
    <t>Intermediary Bank: BANK OF AMERICA N.A.NEW YORK BRANCH</t>
  </si>
  <si>
    <t>SWIFT BIC: BOFAUS3N</t>
  </si>
  <si>
    <t>Beneficiary Bank: ZHEJIANG CHOUZHOU COMMERCIAL BANK</t>
  </si>
  <si>
    <t>SWIFT BIC: CZCBCN2X</t>
  </si>
  <si>
    <t>Beneficiary Name: GLOBAL SHOP INTERNATIONAL COMPANY LIMITED</t>
  </si>
  <si>
    <t>Beneficiary Account: NRA15602002010590029396</t>
  </si>
  <si>
    <t>Company Address: ROOM 803 8/E EASEY COMERCIAL BUILDING 253 - 261 HENNESSY ROAD WAN CHAI, HONG KONG CHINA</t>
  </si>
  <si>
    <t>Ma Lao</t>
  </si>
  <si>
    <t>mvalle@probusiness.pe</t>
  </si>
  <si>
    <t>PAIRS</t>
  </si>
  <si>
    <t>CERRADURA DIGITAL</t>
  </si>
  <si>
    <t>TORRE PARA GATOS</t>
  </si>
  <si>
    <t>RUEDA PARA GATOS</t>
  </si>
  <si>
    <t>GORROS DEPORTIVOS</t>
  </si>
  <si>
    <t>CORREA PARA MASCOTA</t>
  </si>
  <si>
    <t>PANTALON LEGGIN PARA DEPORTE</t>
  </si>
  <si>
    <t>SHORT DEPORTIVO</t>
  </si>
  <si>
    <t>TRICICLO PLEGABLE MULTIFUNCIONAL</t>
  </si>
  <si>
    <t>FOCOS LED 12W</t>
  </si>
  <si>
    <t>REBANADOR MULTIFUNCIONAL PARA PLATANOS</t>
  </si>
  <si>
    <t>ROLLO DE ETIQUETA ADHESIVA COLOR</t>
  </si>
  <si>
    <t>ROLLO DE ETIQUETA ADHESIVA BLANCA</t>
  </si>
  <si>
    <t>ETIQUETA ADHESIVA TERMINCAS BLANCA</t>
  </si>
  <si>
    <t>MAQUINA PARA PALOMITAS DE MAÍZ ZA-12</t>
  </si>
  <si>
    <t>CALENTADOR PARA PALOMITAS DE MAÍZ ZA-650</t>
  </si>
  <si>
    <t>MAQUINA PARA PALOMITAS DE MAÍZ ZA-08</t>
  </si>
  <si>
    <t>DISPENSADOR DE AGUA CON FILTRO PURIFICADOR</t>
  </si>
  <si>
    <t>MANIJA DOBLE PARA PUERTAS DE VIDRIO</t>
  </si>
  <si>
    <t>LAMPARA DE TECHO PARA COMEDOR</t>
  </si>
  <si>
    <t>LAMPARA LED DE TECHO PARA SALA</t>
  </si>
  <si>
    <t>LAMPARA LED PARA TECHO 3 ANILLOS</t>
  </si>
  <si>
    <t>LAMPARA LED DE TECHO MODERNO</t>
  </si>
  <si>
    <t>ETIQUETAS ADHESIVAS TÉRMICAS HOLOGRÁFICAS 5CM</t>
  </si>
  <si>
    <t>ETIQUETAS ADHESIVAS TÉRMICAS HOLOGRÁFICAS 3CM</t>
  </si>
  <si>
    <t>ETIQUETAS TERMICAS IMPERMEABLES</t>
  </si>
  <si>
    <t>FOCOS LED Y7D</t>
  </si>
  <si>
    <t>FOCOS LED SC7</t>
  </si>
  <si>
    <t>FOCOS LED Y8H4</t>
  </si>
  <si>
    <t>FOCOS LED V26(H4)</t>
  </si>
  <si>
    <t>FOCOS LED V68(H4)</t>
  </si>
  <si>
    <t>CARGADOR DE BATERÍAS DE CARROS</t>
  </si>
  <si>
    <t>GUANTES LARGOS TACTICOS</t>
  </si>
  <si>
    <t>GUANTES CORTOS TACTICOS</t>
  </si>
  <si>
    <t>MOCHILA TACTICA</t>
  </si>
  <si>
    <t>MOCHILA PARA SENDERISMO</t>
  </si>
  <si>
    <t>MOCHILA TACTICA MULTIBOLSILLOS</t>
  </si>
  <si>
    <t>MORRAL TÁCTICO</t>
  </si>
  <si>
    <t>CORREA TÁCTICA</t>
  </si>
  <si>
    <t>MASCARA TACTICA</t>
  </si>
  <si>
    <t>PACK RODILLERAS Y CODERAS TACTICAS</t>
  </si>
  <si>
    <t>PASAMONTAÑAS TACTICA</t>
  </si>
  <si>
    <t>CINTURON DE SEGURIDAD DE 3 PUNTOS</t>
  </si>
  <si>
    <t>CINTURÓN DE SEGURIDAD DE 2 PUNTOS RETRACTIL</t>
  </si>
  <si>
    <t>SOPORTE PARA BARRAS DE MOTOCICLETA</t>
  </si>
  <si>
    <t>SOPORTE PARA SLIDER DE MOTOCICLETA</t>
  </si>
  <si>
    <t>SOPORTE PARA ESPEJO DE MOTOCICLETA</t>
  </si>
  <si>
    <t>COMANDO CON LUZ LED PARA MOTOCICLETA</t>
  </si>
  <si>
    <t>PISCINA CON PROTECCION</t>
  </si>
  <si>
    <t>MALLA HEXAGONAL DE PROTECCIÓN</t>
  </si>
  <si>
    <t>SET DE PINES DE SEGURIDAD PARA PARLANTES</t>
  </si>
  <si>
    <t>POSA RUEDAS O TOPES PARA RUEDAS</t>
  </si>
  <si>
    <t>CARTERAS PARA DAMA</t>
  </si>
  <si>
    <t>SCOOTER ELECTRICO PARA NIÑO</t>
  </si>
  <si>
    <t>ADAPTADOR USB SATA</t>
  </si>
  <si>
    <t>CASE PARA DISCO DURO</t>
  </si>
  <si>
    <t>CADDY 2.5" PARA COMPUTADORA</t>
  </si>
  <si>
    <t>MOTHERBOARD H61 PARA COMPUTADORA</t>
  </si>
  <si>
    <t>MOTHERBOARD H81 PARA COMPUTADORA</t>
  </si>
  <si>
    <t>TARJETA GRAFICA GT730 PARA COMPUTADORA</t>
  </si>
  <si>
    <t>TARJETA GRAFICA GTX750TI PARA COMPUTADORA</t>
  </si>
  <si>
    <t>AFEITADORA ELÉCTRICA CDH002-MN</t>
  </si>
  <si>
    <t>CAPA PARA BARBERIA</t>
  </si>
  <si>
    <t>AFEITADORA CLASICA AJUSTABLE</t>
  </si>
  <si>
    <t>BASE DE SOPORTE PARA MAQUINA DE AFEITAR</t>
  </si>
  <si>
    <t>SET DE 50 HOJAS PARA AFEITAR</t>
  </si>
  <si>
    <t>EMBRAGUE DE LIBERACIÓN PARA BATERIA ACUSTICA</t>
  </si>
  <si>
    <t>ABRAZADERA PARA TABOR DE BATERÍA ACUSTICA</t>
  </si>
  <si>
    <t>SET DE SEGURO PARA PLATILLOS</t>
  </si>
  <si>
    <t>TUERCAS PARA PLATILLOS DE BATERIA</t>
  </si>
  <si>
    <t>SOPORTE DE CAMPANA DE TAMBOR</t>
  </si>
  <si>
    <t>PANDERETA PARA TAROLA DE BATERIA</t>
  </si>
  <si>
    <t>MAZO PARA PEDAL DE BOMBO MODELO 1</t>
  </si>
  <si>
    <t>MAZO PARA PEDAL DE BOMBO MODELO 2</t>
  </si>
  <si>
    <t>SOPORTE PARA BAQUETAS</t>
  </si>
  <si>
    <t>ARO DE TAMBOR PARA BATERÍA</t>
  </si>
  <si>
    <t>BAQUETAS PARA BATERIA</t>
  </si>
  <si>
    <t>GUARDAFANDO DELANTERO PARA CAMIÓN</t>
  </si>
  <si>
    <t>BOLSO PARA 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</si>
</sst>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_-[$$-409]* #,##0.00_ ;_-[$$-409]* \-#,##0.00\ ;_-[$$-409]* &quot;-&quot;??_ ;_-@_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b/>
      <u/>
      <sz val="14"/>
      <color theme="1"/>
      <name val="Arial Narrow"/>
      <family val="2"/>
    </font>
    <font>
      <b/>
      <sz val="14"/>
      <name val="Arial Narrow"/>
      <family val="2"/>
    </font>
    <font>
      <sz val="14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5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49" fontId="0" fillId="2" borderId="0" xfId="0" applyNumberFormat="1" applyFill="1"/>
    <xf numFmtId="0" fontId="2" fillId="2" borderId="0" xfId="1" applyFill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8" fillId="2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14" fontId="0" fillId="3" borderId="1" xfId="0" applyNumberForma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2" borderId="0" xfId="0" applyFill="1" applyAlignment="1">
      <alignment horizontal="right"/>
    </xf>
    <xf numFmtId="0" fontId="1" fillId="5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">
    <cellStyle name="Hipervínculo" xfId="1" builtinId="8"/>
    <cellStyle name="Normal" xfId="0" builtinId="0"/>
    <cellStyle name="Normal 2 2" xfId="2" xr:uid="{00000000-0005-0000-0000-000002000000}"/>
    <cellStyle name="Normal 3 2 2" xfId="3" xr:uid="{5C3011B0-8BA3-463F-B62E-9F233BA7BA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168087</xdr:colOff>
      <xdr:row>65</xdr:row>
      <xdr:rowOff>212942</xdr:rowOff>
    </xdr:from>
    <xdr:to>
      <xdr:col>15</xdr:col>
      <xdr:colOff>758420</xdr:colOff>
      <xdr:row>74</xdr:row>
      <xdr:rowOff>27763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D6A73E2-D420-5204-47E8-25AE67C9F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3455" y="15060736"/>
          <a:ext cx="3153678" cy="1831880"/>
        </a:xfrm>
        <a:prstGeom prst="rect">
          <a:avLst/>
        </a:prstGeom>
      </xdr:spPr>
    </xdr:pic>
    <xdr:clientData/>
  </xdr:twoCellAnchor>
  <xdr:oneCellAnchor>
    <xdr:from>
      <xdr:col>1</xdr:col>
      <xdr:colOff>42022</xdr:colOff>
      <xdr:row>9</xdr:row>
      <xdr:rowOff>0</xdr:rowOff>
    </xdr:from>
    <xdr:ext cx="2295525" cy="2133600"/>
    <xdr:pic>
      <xdr:nvPicPr>
        <xdr:cNvPr id="3" name="Imagen 2">
          <a:extLst>
            <a:ext uri="{FF2B5EF4-FFF2-40B4-BE49-F238E27FC236}">
              <a16:creationId xmlns:a16="http://schemas.microsoft.com/office/drawing/2014/main" id="{71854E4C-3BDD-4840-AE4D-67308EDDC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419" y="1764926"/>
          <a:ext cx="2295525" cy="21336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607391</xdr:colOff>
      <xdr:row>71</xdr:row>
      <xdr:rowOff>27608</xdr:rowOff>
    </xdr:from>
    <xdr:to>
      <xdr:col>15</xdr:col>
      <xdr:colOff>282373</xdr:colOff>
      <xdr:row>78</xdr:row>
      <xdr:rowOff>216771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833C98-0812-462D-825A-DBB6C422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0978" y="13390217"/>
          <a:ext cx="3153678" cy="1831880"/>
        </a:xfrm>
        <a:prstGeom prst="rect">
          <a:avLst/>
        </a:prstGeom>
      </xdr:spPr>
    </xdr:pic>
    <xdr:clientData/>
  </xdr:twoCellAnchor>
  <xdr:oneCellAnchor>
    <xdr:from>
      <xdr:col>1</xdr:col>
      <xdr:colOff>27608</xdr:colOff>
      <xdr:row>9</xdr:row>
      <xdr:rowOff>0</xdr:rowOff>
    </xdr:from>
    <xdr:ext cx="2295525" cy="2133600"/>
    <xdr:pic>
      <xdr:nvPicPr>
        <xdr:cNvPr id="3" name="Imagen 2">
          <a:extLst>
            <a:ext uri="{FF2B5EF4-FFF2-40B4-BE49-F238E27FC236}">
              <a16:creationId xmlns:a16="http://schemas.microsoft.com/office/drawing/2014/main" id="{F6C7BD54-D6CB-4154-93BF-39CFAFE0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847" y="1739348"/>
          <a:ext cx="2295525" cy="2133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valle@probusiness.p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valle@probusiness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0C67-B481-4D82-B55C-0D622EEDCEED}">
  <sheetPr codeName="Hoja2">
    <pageSetUpPr fitToPage="1"/>
  </sheetPr>
  <dimension ref="B1:Q238"/>
  <sheetViews>
    <sheetView topLeftCell="A35" zoomScale="68" zoomScaleNormal="68" workbookViewId="0">
      <selection activeCell="D25" sqref="D25:P61"/>
    </sheetView>
  </sheetViews>
  <sheetFormatPr baseColWidth="10" defaultRowHeight="15" x14ac:dyDescent="0.2"/>
  <cols>
    <col min="2" max="2" width="16.5" customWidth="1"/>
    <col min="3" max="3" width="18.83203125" customWidth="1"/>
    <col min="6" max="6" width="15.6640625" customWidth="1"/>
    <col min="13" max="13" width="15.83203125" customWidth="1"/>
    <col min="16" max="16" width="29.5" customWidth="1"/>
  </cols>
  <sheetData>
    <row r="1" spans="5:16" s="1" customFormat="1" x14ac:dyDescent="0.2"/>
    <row r="2" spans="5:16" s="1" customFormat="1" x14ac:dyDescent="0.2"/>
    <row r="3" spans="5:16" s="1" customFormat="1" x14ac:dyDescent="0.2"/>
    <row r="4" spans="5:16" s="1" customFormat="1" x14ac:dyDescent="0.2"/>
    <row r="5" spans="5:16" s="1" customFormat="1" ht="15" customHeight="1" x14ac:dyDescent="0.2">
      <c r="E5" s="51" t="s">
        <v>0</v>
      </c>
      <c r="F5" s="51"/>
      <c r="G5" s="51"/>
      <c r="H5" s="51"/>
      <c r="I5" s="51"/>
      <c r="J5" s="51"/>
      <c r="K5" s="51"/>
      <c r="L5" s="51"/>
      <c r="M5" s="51"/>
    </row>
    <row r="6" spans="5:16" s="1" customFormat="1" ht="15" customHeight="1" x14ac:dyDescent="0.2">
      <c r="E6" s="51"/>
      <c r="F6" s="51"/>
      <c r="G6" s="51"/>
      <c r="H6" s="51"/>
      <c r="I6" s="51"/>
      <c r="J6" s="51"/>
      <c r="K6" s="51"/>
      <c r="L6" s="51"/>
      <c r="M6" s="51"/>
    </row>
    <row r="7" spans="5:16" s="1" customFormat="1" ht="15" customHeight="1" x14ac:dyDescent="0.2">
      <c r="E7" s="51"/>
      <c r="F7" s="51"/>
      <c r="G7" s="51"/>
      <c r="H7" s="51"/>
      <c r="I7" s="51"/>
      <c r="J7" s="51"/>
      <c r="K7" s="51"/>
      <c r="L7" s="51"/>
      <c r="M7" s="51"/>
    </row>
    <row r="8" spans="5:16" s="1" customFormat="1" ht="15" customHeight="1" x14ac:dyDescent="0.2">
      <c r="H8" s="52" t="s">
        <v>1</v>
      </c>
      <c r="I8" s="52"/>
      <c r="J8" s="52"/>
    </row>
    <row r="9" spans="5:16" s="1" customFormat="1" ht="15" customHeight="1" x14ac:dyDescent="0.2"/>
    <row r="10" spans="5:16" s="1" customFormat="1" ht="15" customHeight="1" x14ac:dyDescent="0.2"/>
    <row r="11" spans="5:16" s="1" customFormat="1" ht="15" customHeight="1" x14ac:dyDescent="0.2">
      <c r="E11" s="3" t="s">
        <v>2</v>
      </c>
      <c r="F11" s="3"/>
      <c r="G11" s="3"/>
      <c r="H11" s="3"/>
      <c r="I11" s="3"/>
      <c r="J11" s="3"/>
      <c r="K11" s="3"/>
      <c r="L11" s="3"/>
      <c r="M11" s="3"/>
    </row>
    <row r="12" spans="5:16" s="1" customFormat="1" ht="15" customHeight="1" x14ac:dyDescent="0.2">
      <c r="E12" s="1" t="s">
        <v>3</v>
      </c>
      <c r="F12" s="1" t="s">
        <v>35</v>
      </c>
    </row>
    <row r="13" spans="5:16" s="1" customFormat="1" ht="15" customHeight="1" x14ac:dyDescent="0.2">
      <c r="E13" s="1" t="s">
        <v>4</v>
      </c>
      <c r="F13" s="1" t="s">
        <v>36</v>
      </c>
      <c r="N13" s="49" t="s">
        <v>5</v>
      </c>
      <c r="O13" s="49"/>
      <c r="P13" s="4">
        <v>91100079</v>
      </c>
    </row>
    <row r="14" spans="5:16" s="1" customFormat="1" ht="15" customHeight="1" x14ac:dyDescent="0.2">
      <c r="E14" s="1" t="s">
        <v>6</v>
      </c>
      <c r="F14" s="5" t="s">
        <v>23</v>
      </c>
      <c r="N14" s="49" t="s">
        <v>7</v>
      </c>
      <c r="O14" s="49"/>
      <c r="P14" s="23">
        <v>45555</v>
      </c>
    </row>
    <row r="15" spans="5:16" s="1" customFormat="1" ht="15" customHeight="1" x14ac:dyDescent="0.2">
      <c r="E15" s="1" t="s">
        <v>8</v>
      </c>
      <c r="F15" s="1" t="s">
        <v>44</v>
      </c>
      <c r="N15" s="49" t="s">
        <v>9</v>
      </c>
      <c r="O15" s="49"/>
      <c r="P15" s="4" t="s">
        <v>10</v>
      </c>
    </row>
    <row r="16" spans="5:16" s="1" customFormat="1" ht="15" customHeight="1" x14ac:dyDescent="0.2"/>
    <row r="17" spans="2:17" s="1" customFormat="1" ht="15" customHeight="1" x14ac:dyDescent="0.2">
      <c r="E17" s="3" t="s">
        <v>11</v>
      </c>
      <c r="F17" s="3"/>
      <c r="G17" s="3"/>
      <c r="H17" s="3"/>
      <c r="I17" s="3"/>
      <c r="J17" s="3"/>
      <c r="K17" s="3"/>
      <c r="L17" s="3"/>
      <c r="M17" s="3"/>
    </row>
    <row r="18" spans="2:17" s="1" customFormat="1" ht="15" customHeight="1" x14ac:dyDescent="0.2">
      <c r="E18" s="1" t="s">
        <v>3</v>
      </c>
      <c r="F18" s="1" t="s">
        <v>24</v>
      </c>
    </row>
    <row r="19" spans="2:17" s="1" customFormat="1" ht="15" customHeight="1" x14ac:dyDescent="0.2">
      <c r="E19" s="1" t="s">
        <v>4</v>
      </c>
      <c r="F19" s="1" t="s">
        <v>25</v>
      </c>
    </row>
    <row r="20" spans="2:17" s="1" customFormat="1" ht="15" customHeight="1" x14ac:dyDescent="0.2">
      <c r="E20" s="1" t="s">
        <v>12</v>
      </c>
      <c r="F20" s="5">
        <v>20612452432</v>
      </c>
    </row>
    <row r="21" spans="2:17" s="1" customFormat="1" ht="15" customHeight="1" x14ac:dyDescent="0.2">
      <c r="E21" s="1" t="s">
        <v>13</v>
      </c>
      <c r="F21" s="6" t="s">
        <v>26</v>
      </c>
    </row>
    <row r="22" spans="2:17" s="1" customFormat="1" ht="15" customHeight="1" x14ac:dyDescent="0.2">
      <c r="E22" s="1" t="s">
        <v>14</v>
      </c>
      <c r="F22" s="7" t="s">
        <v>45</v>
      </c>
    </row>
    <row r="23" spans="2:17" s="1" customFormat="1" x14ac:dyDescent="0.2"/>
    <row r="24" spans="2:17" s="1" customFormat="1" ht="21.5" customHeight="1" thickBot="1" x14ac:dyDescent="0.25"/>
    <row r="25" spans="2:17" s="1" customFormat="1" x14ac:dyDescent="0.2">
      <c r="B25" s="37" t="s">
        <v>15</v>
      </c>
      <c r="C25" s="9" t="s">
        <v>16</v>
      </c>
      <c r="D25" s="50" t="s">
        <v>17</v>
      </c>
      <c r="E25" s="50"/>
      <c r="F25" s="50"/>
      <c r="G25" s="50"/>
      <c r="H25" s="50"/>
      <c r="I25" s="50"/>
      <c r="J25" s="50"/>
      <c r="K25" s="50"/>
      <c r="L25" s="50" t="s">
        <v>18</v>
      </c>
      <c r="M25" s="50"/>
      <c r="N25" s="50" t="s">
        <v>19</v>
      </c>
      <c r="O25" s="50"/>
      <c r="P25" s="39" t="s">
        <v>20</v>
      </c>
      <c r="Q25" s="2"/>
    </row>
    <row r="26" spans="2:17" s="1" customFormat="1" ht="23" customHeight="1" x14ac:dyDescent="0.2">
      <c r="B26" s="38">
        <v>1</v>
      </c>
      <c r="C26" s="12" t="s">
        <v>21</v>
      </c>
      <c r="D26" s="46" t="s">
        <v>47</v>
      </c>
      <c r="E26" s="47"/>
      <c r="F26" s="47"/>
      <c r="G26" s="47"/>
      <c r="H26" s="47"/>
      <c r="I26" s="47"/>
      <c r="J26" s="47"/>
      <c r="K26" s="48"/>
      <c r="L26" s="40">
        <v>65</v>
      </c>
      <c r="M26" s="40" t="s">
        <v>34</v>
      </c>
      <c r="N26" s="41">
        <v>16.3923076923077</v>
      </c>
      <c r="O26" s="40" t="s">
        <v>34</v>
      </c>
      <c r="P26" s="42">
        <f t="shared" ref="P26:P57" si="0">N26*L26</f>
        <v>1065.5000000000005</v>
      </c>
    </row>
    <row r="27" spans="2:17" s="1" customFormat="1" ht="23" customHeight="1" x14ac:dyDescent="0.2">
      <c r="B27" s="38">
        <v>2</v>
      </c>
      <c r="C27" s="12" t="s">
        <v>21</v>
      </c>
      <c r="D27" s="46" t="s">
        <v>48</v>
      </c>
      <c r="E27" s="47"/>
      <c r="F27" s="47"/>
      <c r="G27" s="47"/>
      <c r="H27" s="47"/>
      <c r="I27" s="47"/>
      <c r="J27" s="47"/>
      <c r="K27" s="48"/>
      <c r="L27" s="40">
        <v>6</v>
      </c>
      <c r="M27" s="40" t="s">
        <v>34</v>
      </c>
      <c r="N27" s="41">
        <v>31.3333333333333</v>
      </c>
      <c r="O27" s="40" t="s">
        <v>34</v>
      </c>
      <c r="P27" s="42">
        <f t="shared" si="0"/>
        <v>187.9999999999998</v>
      </c>
    </row>
    <row r="28" spans="2:17" s="1" customFormat="1" ht="23" customHeight="1" x14ac:dyDescent="0.2">
      <c r="B28" s="38">
        <v>3</v>
      </c>
      <c r="C28" s="12" t="s">
        <v>21</v>
      </c>
      <c r="D28" s="46" t="s">
        <v>49</v>
      </c>
      <c r="E28" s="47"/>
      <c r="F28" s="47"/>
      <c r="G28" s="47"/>
      <c r="H28" s="47"/>
      <c r="I28" s="47"/>
      <c r="J28" s="47"/>
      <c r="K28" s="48"/>
      <c r="L28" s="40">
        <v>1</v>
      </c>
      <c r="M28" s="40" t="s">
        <v>34</v>
      </c>
      <c r="N28" s="41">
        <v>26.18</v>
      </c>
      <c r="O28" s="40" t="s">
        <v>34</v>
      </c>
      <c r="P28" s="42">
        <f t="shared" si="0"/>
        <v>26.18</v>
      </c>
    </row>
    <row r="29" spans="2:17" s="1" customFormat="1" ht="23" customHeight="1" x14ac:dyDescent="0.2">
      <c r="B29" s="38">
        <v>4</v>
      </c>
      <c r="C29" s="12" t="s">
        <v>21</v>
      </c>
      <c r="D29" s="46" t="s">
        <v>50</v>
      </c>
      <c r="E29" s="47"/>
      <c r="F29" s="47"/>
      <c r="G29" s="47"/>
      <c r="H29" s="47"/>
      <c r="I29" s="47"/>
      <c r="J29" s="47"/>
      <c r="K29" s="48"/>
      <c r="L29" s="40">
        <v>200</v>
      </c>
      <c r="M29" s="40" t="s">
        <v>34</v>
      </c>
      <c r="N29" s="41">
        <v>1.59</v>
      </c>
      <c r="O29" s="40" t="s">
        <v>34</v>
      </c>
      <c r="P29" s="42">
        <f t="shared" si="0"/>
        <v>318</v>
      </c>
    </row>
    <row r="30" spans="2:17" s="1" customFormat="1" ht="23" customHeight="1" x14ac:dyDescent="0.2">
      <c r="B30" s="38">
        <v>5</v>
      </c>
      <c r="C30" s="12" t="s">
        <v>21</v>
      </c>
      <c r="D30" s="46" t="s">
        <v>51</v>
      </c>
      <c r="E30" s="47"/>
      <c r="F30" s="47"/>
      <c r="G30" s="47"/>
      <c r="H30" s="47"/>
      <c r="I30" s="47"/>
      <c r="J30" s="47"/>
      <c r="K30" s="48"/>
      <c r="L30" s="40">
        <v>200</v>
      </c>
      <c r="M30" s="40" t="s">
        <v>34</v>
      </c>
      <c r="N30" s="41">
        <v>0.88</v>
      </c>
      <c r="O30" s="40" t="s">
        <v>34</v>
      </c>
      <c r="P30" s="42">
        <f t="shared" si="0"/>
        <v>176</v>
      </c>
    </row>
    <row r="31" spans="2:17" s="1" customFormat="1" ht="23" customHeight="1" x14ac:dyDescent="0.2">
      <c r="B31" s="38">
        <v>6</v>
      </c>
      <c r="C31" s="12" t="s">
        <v>21</v>
      </c>
      <c r="D31" s="46" t="s">
        <v>52</v>
      </c>
      <c r="E31" s="47"/>
      <c r="F31" s="47"/>
      <c r="G31" s="47"/>
      <c r="H31" s="47"/>
      <c r="I31" s="47"/>
      <c r="J31" s="47"/>
      <c r="K31" s="48"/>
      <c r="L31" s="40">
        <v>400</v>
      </c>
      <c r="M31" s="40" t="s">
        <v>34</v>
      </c>
      <c r="N31" s="41">
        <v>4.2462499999999999</v>
      </c>
      <c r="O31" s="40" t="s">
        <v>34</v>
      </c>
      <c r="P31" s="42">
        <f t="shared" si="0"/>
        <v>1698.5</v>
      </c>
    </row>
    <row r="32" spans="2:17" s="1" customFormat="1" ht="23" customHeight="1" x14ac:dyDescent="0.2">
      <c r="B32" s="38">
        <v>7</v>
      </c>
      <c r="C32" s="12" t="s">
        <v>21</v>
      </c>
      <c r="D32" s="46" t="s">
        <v>53</v>
      </c>
      <c r="E32" s="47"/>
      <c r="F32" s="47"/>
      <c r="G32" s="47"/>
      <c r="H32" s="47"/>
      <c r="I32" s="47"/>
      <c r="J32" s="47"/>
      <c r="K32" s="48"/>
      <c r="L32" s="40">
        <v>240</v>
      </c>
      <c r="M32" s="40" t="s">
        <v>34</v>
      </c>
      <c r="N32" s="41">
        <v>3.3841666666666699</v>
      </c>
      <c r="O32" s="40" t="s">
        <v>34</v>
      </c>
      <c r="P32" s="42">
        <f t="shared" si="0"/>
        <v>812.20000000000073</v>
      </c>
    </row>
    <row r="33" spans="2:16" s="1" customFormat="1" ht="23" customHeight="1" x14ac:dyDescent="0.2">
      <c r="B33" s="38">
        <v>8</v>
      </c>
      <c r="C33" s="12" t="s">
        <v>21</v>
      </c>
      <c r="D33" s="46" t="s">
        <v>54</v>
      </c>
      <c r="E33" s="47"/>
      <c r="F33" s="47"/>
      <c r="G33" s="47"/>
      <c r="H33" s="47"/>
      <c r="I33" s="47"/>
      <c r="J33" s="47"/>
      <c r="K33" s="48"/>
      <c r="L33" s="40">
        <v>30</v>
      </c>
      <c r="M33" s="40" t="s">
        <v>34</v>
      </c>
      <c r="N33" s="41">
        <v>39.9</v>
      </c>
      <c r="O33" s="40" t="s">
        <v>34</v>
      </c>
      <c r="P33" s="42">
        <f t="shared" si="0"/>
        <v>1197</v>
      </c>
    </row>
    <row r="34" spans="2:16" s="1" customFormat="1" ht="23" customHeight="1" x14ac:dyDescent="0.2">
      <c r="B34" s="38">
        <v>9</v>
      </c>
      <c r="C34" s="12" t="s">
        <v>21</v>
      </c>
      <c r="D34" s="46" t="s">
        <v>55</v>
      </c>
      <c r="E34" s="47"/>
      <c r="F34" s="47"/>
      <c r="G34" s="47"/>
      <c r="H34" s="47"/>
      <c r="I34" s="47"/>
      <c r="J34" s="47"/>
      <c r="K34" s="48"/>
      <c r="L34" s="40">
        <v>300</v>
      </c>
      <c r="M34" s="40" t="s">
        <v>34</v>
      </c>
      <c r="N34" s="41">
        <v>0.9</v>
      </c>
      <c r="O34" s="40" t="s">
        <v>34</v>
      </c>
      <c r="P34" s="42">
        <f t="shared" si="0"/>
        <v>270</v>
      </c>
    </row>
    <row r="35" spans="2:16" s="1" customFormat="1" ht="23" customHeight="1" x14ac:dyDescent="0.2">
      <c r="B35" s="38">
        <v>10</v>
      </c>
      <c r="C35" s="12" t="s">
        <v>21</v>
      </c>
      <c r="D35" s="46" t="s">
        <v>56</v>
      </c>
      <c r="E35" s="47"/>
      <c r="F35" s="47"/>
      <c r="G35" s="47"/>
      <c r="H35" s="47"/>
      <c r="I35" s="47"/>
      <c r="J35" s="47"/>
      <c r="K35" s="48"/>
      <c r="L35" s="40">
        <v>6</v>
      </c>
      <c r="M35" s="40" t="s">
        <v>34</v>
      </c>
      <c r="N35" s="41">
        <v>110</v>
      </c>
      <c r="O35" s="40" t="s">
        <v>34</v>
      </c>
      <c r="P35" s="42">
        <f t="shared" si="0"/>
        <v>660</v>
      </c>
    </row>
    <row r="36" spans="2:16" s="1" customFormat="1" ht="23" customHeight="1" x14ac:dyDescent="0.2">
      <c r="B36" s="38">
        <v>11</v>
      </c>
      <c r="C36" s="12" t="s">
        <v>21</v>
      </c>
      <c r="D36" s="46" t="s">
        <v>57</v>
      </c>
      <c r="E36" s="47"/>
      <c r="F36" s="47"/>
      <c r="G36" s="47"/>
      <c r="H36" s="47"/>
      <c r="I36" s="47"/>
      <c r="J36" s="47"/>
      <c r="K36" s="48"/>
      <c r="L36" s="40">
        <v>60</v>
      </c>
      <c r="M36" s="40" t="s">
        <v>34</v>
      </c>
      <c r="N36" s="41">
        <v>3.2</v>
      </c>
      <c r="O36" s="40" t="s">
        <v>34</v>
      </c>
      <c r="P36" s="42">
        <f t="shared" si="0"/>
        <v>192</v>
      </c>
    </row>
    <row r="37" spans="2:16" s="1" customFormat="1" ht="23" customHeight="1" x14ac:dyDescent="0.2">
      <c r="B37" s="38">
        <v>12</v>
      </c>
      <c r="C37" s="12" t="s">
        <v>21</v>
      </c>
      <c r="D37" s="46" t="s">
        <v>58</v>
      </c>
      <c r="E37" s="47"/>
      <c r="F37" s="47"/>
      <c r="G37" s="47"/>
      <c r="H37" s="47"/>
      <c r="I37" s="47"/>
      <c r="J37" s="47"/>
      <c r="K37" s="48"/>
      <c r="L37" s="40">
        <v>120</v>
      </c>
      <c r="M37" s="40" t="s">
        <v>34</v>
      </c>
      <c r="N37" s="41">
        <v>2.125</v>
      </c>
      <c r="O37" s="40" t="s">
        <v>34</v>
      </c>
      <c r="P37" s="42">
        <f t="shared" si="0"/>
        <v>255</v>
      </c>
    </row>
    <row r="38" spans="2:16" s="1" customFormat="1" ht="23" customHeight="1" x14ac:dyDescent="0.2">
      <c r="B38" s="38">
        <v>13</v>
      </c>
      <c r="C38" s="12" t="s">
        <v>21</v>
      </c>
      <c r="D38" s="46" t="s">
        <v>59</v>
      </c>
      <c r="E38" s="47"/>
      <c r="F38" s="47"/>
      <c r="G38" s="47"/>
      <c r="H38" s="47"/>
      <c r="I38" s="47"/>
      <c r="J38" s="47"/>
      <c r="K38" s="48"/>
      <c r="L38" s="40">
        <v>90</v>
      </c>
      <c r="M38" s="40" t="s">
        <v>34</v>
      </c>
      <c r="N38" s="41">
        <v>3.4</v>
      </c>
      <c r="O38" s="40" t="s">
        <v>34</v>
      </c>
      <c r="P38" s="42">
        <f t="shared" si="0"/>
        <v>306</v>
      </c>
    </row>
    <row r="39" spans="2:16" s="1" customFormat="1" ht="23" customHeight="1" x14ac:dyDescent="0.2">
      <c r="B39" s="38">
        <v>14</v>
      </c>
      <c r="C39" s="12" t="s">
        <v>21</v>
      </c>
      <c r="D39" s="46" t="s">
        <v>60</v>
      </c>
      <c r="E39" s="47"/>
      <c r="F39" s="47"/>
      <c r="G39" s="47"/>
      <c r="H39" s="47"/>
      <c r="I39" s="47"/>
      <c r="J39" s="47"/>
      <c r="K39" s="48"/>
      <c r="L39" s="40">
        <v>4</v>
      </c>
      <c r="M39" s="40" t="s">
        <v>34</v>
      </c>
      <c r="N39" s="41">
        <v>380</v>
      </c>
      <c r="O39" s="40" t="s">
        <v>34</v>
      </c>
      <c r="P39" s="42">
        <f t="shared" si="0"/>
        <v>1520</v>
      </c>
    </row>
    <row r="40" spans="2:16" s="1" customFormat="1" ht="23" customHeight="1" x14ac:dyDescent="0.2">
      <c r="B40" s="38">
        <v>15</v>
      </c>
      <c r="C40" s="12" t="s">
        <v>21</v>
      </c>
      <c r="D40" s="46" t="s">
        <v>61</v>
      </c>
      <c r="E40" s="47"/>
      <c r="F40" s="47"/>
      <c r="G40" s="47"/>
      <c r="H40" s="47"/>
      <c r="I40" s="47"/>
      <c r="J40" s="47"/>
      <c r="K40" s="48"/>
      <c r="L40" s="40">
        <v>2</v>
      </c>
      <c r="M40" s="40" t="s">
        <v>34</v>
      </c>
      <c r="N40" s="41">
        <v>295</v>
      </c>
      <c r="O40" s="40" t="s">
        <v>34</v>
      </c>
      <c r="P40" s="42">
        <f t="shared" si="0"/>
        <v>590</v>
      </c>
    </row>
    <row r="41" spans="2:16" s="1" customFormat="1" ht="23" customHeight="1" x14ac:dyDescent="0.2">
      <c r="B41" s="38">
        <v>16</v>
      </c>
      <c r="C41" s="12" t="s">
        <v>21</v>
      </c>
      <c r="D41" s="46" t="s">
        <v>62</v>
      </c>
      <c r="E41" s="47"/>
      <c r="F41" s="47"/>
      <c r="G41" s="47"/>
      <c r="H41" s="47"/>
      <c r="I41" s="47"/>
      <c r="J41" s="47"/>
      <c r="K41" s="48"/>
      <c r="L41" s="40">
        <v>6</v>
      </c>
      <c r="M41" s="40" t="s">
        <v>34</v>
      </c>
      <c r="N41" s="41">
        <v>125</v>
      </c>
      <c r="O41" s="40" t="s">
        <v>34</v>
      </c>
      <c r="P41" s="42">
        <f t="shared" si="0"/>
        <v>750</v>
      </c>
    </row>
    <row r="42" spans="2:16" s="1" customFormat="1" ht="23" customHeight="1" x14ac:dyDescent="0.2">
      <c r="B42" s="38">
        <v>17</v>
      </c>
      <c r="C42" s="12" t="s">
        <v>21</v>
      </c>
      <c r="D42" s="46" t="s">
        <v>63</v>
      </c>
      <c r="E42" s="47"/>
      <c r="F42" s="47"/>
      <c r="G42" s="47"/>
      <c r="H42" s="47"/>
      <c r="I42" s="47"/>
      <c r="J42" s="47"/>
      <c r="K42" s="48"/>
      <c r="L42" s="40">
        <v>36</v>
      </c>
      <c r="M42" s="40" t="s">
        <v>34</v>
      </c>
      <c r="N42" s="41">
        <v>8.6</v>
      </c>
      <c r="O42" s="40" t="s">
        <v>34</v>
      </c>
      <c r="P42" s="42">
        <f t="shared" si="0"/>
        <v>309.59999999999997</v>
      </c>
    </row>
    <row r="43" spans="2:16" s="1" customFormat="1" ht="23" customHeight="1" x14ac:dyDescent="0.2">
      <c r="B43" s="38">
        <v>18</v>
      </c>
      <c r="C43" s="12" t="s">
        <v>21</v>
      </c>
      <c r="D43" s="46" t="s">
        <v>64</v>
      </c>
      <c r="E43" s="47"/>
      <c r="F43" s="47"/>
      <c r="G43" s="47"/>
      <c r="H43" s="47"/>
      <c r="I43" s="47"/>
      <c r="J43" s="47"/>
      <c r="K43" s="48"/>
      <c r="L43" s="40">
        <v>700</v>
      </c>
      <c r="M43" s="40" t="s">
        <v>46</v>
      </c>
      <c r="N43" s="41">
        <v>1.885</v>
      </c>
      <c r="O43" s="40" t="s">
        <v>46</v>
      </c>
      <c r="P43" s="42">
        <f t="shared" si="0"/>
        <v>1319.5</v>
      </c>
    </row>
    <row r="44" spans="2:16" s="1" customFormat="1" ht="23" customHeight="1" x14ac:dyDescent="0.2">
      <c r="B44" s="38">
        <v>19</v>
      </c>
      <c r="C44" s="12" t="s">
        <v>21</v>
      </c>
      <c r="D44" s="46" t="s">
        <v>65</v>
      </c>
      <c r="E44" s="47"/>
      <c r="F44" s="47"/>
      <c r="G44" s="47"/>
      <c r="H44" s="47"/>
      <c r="I44" s="47"/>
      <c r="J44" s="47"/>
      <c r="K44" s="48"/>
      <c r="L44" s="40">
        <v>4</v>
      </c>
      <c r="M44" s="40" t="s">
        <v>34</v>
      </c>
      <c r="N44" s="41">
        <v>7.1</v>
      </c>
      <c r="O44" s="40" t="s">
        <v>34</v>
      </c>
      <c r="P44" s="42">
        <f t="shared" si="0"/>
        <v>28.4</v>
      </c>
    </row>
    <row r="45" spans="2:16" s="1" customFormat="1" ht="23" customHeight="1" x14ac:dyDescent="0.2">
      <c r="B45" s="38">
        <v>20</v>
      </c>
      <c r="C45" s="12" t="s">
        <v>21</v>
      </c>
      <c r="D45" s="46" t="s">
        <v>66</v>
      </c>
      <c r="E45" s="47"/>
      <c r="F45" s="47"/>
      <c r="G45" s="47"/>
      <c r="H45" s="47"/>
      <c r="I45" s="47"/>
      <c r="J45" s="47"/>
      <c r="K45" s="48"/>
      <c r="L45" s="40">
        <v>10</v>
      </c>
      <c r="M45" s="40" t="s">
        <v>34</v>
      </c>
      <c r="N45" s="41">
        <v>4.4000000000000004</v>
      </c>
      <c r="O45" s="40" t="s">
        <v>34</v>
      </c>
      <c r="P45" s="42">
        <f t="shared" si="0"/>
        <v>44</v>
      </c>
    </row>
    <row r="46" spans="2:16" s="1" customFormat="1" ht="23" customHeight="1" x14ac:dyDescent="0.2">
      <c r="B46" s="38">
        <v>21</v>
      </c>
      <c r="C46" s="12" t="s">
        <v>21</v>
      </c>
      <c r="D46" s="46" t="s">
        <v>67</v>
      </c>
      <c r="E46" s="47"/>
      <c r="F46" s="47"/>
      <c r="G46" s="47"/>
      <c r="H46" s="47"/>
      <c r="I46" s="47"/>
      <c r="J46" s="47"/>
      <c r="K46" s="48"/>
      <c r="L46" s="40">
        <v>20</v>
      </c>
      <c r="M46" s="40" t="s">
        <v>34</v>
      </c>
      <c r="N46" s="41">
        <v>5.8</v>
      </c>
      <c r="O46" s="40" t="s">
        <v>34</v>
      </c>
      <c r="P46" s="42">
        <f t="shared" si="0"/>
        <v>116</v>
      </c>
    </row>
    <row r="47" spans="2:16" s="1" customFormat="1" ht="23" customHeight="1" x14ac:dyDescent="0.2">
      <c r="B47" s="38">
        <v>22</v>
      </c>
      <c r="C47" s="12" t="s">
        <v>21</v>
      </c>
      <c r="D47" s="46" t="s">
        <v>68</v>
      </c>
      <c r="E47" s="47"/>
      <c r="F47" s="47"/>
      <c r="G47" s="47"/>
      <c r="H47" s="47"/>
      <c r="I47" s="47"/>
      <c r="J47" s="47"/>
      <c r="K47" s="48"/>
      <c r="L47" s="40">
        <v>9</v>
      </c>
      <c r="M47" s="40" t="s">
        <v>34</v>
      </c>
      <c r="N47" s="41">
        <v>10</v>
      </c>
      <c r="O47" s="40" t="s">
        <v>34</v>
      </c>
      <c r="P47" s="42">
        <f t="shared" si="0"/>
        <v>90</v>
      </c>
    </row>
    <row r="48" spans="2:16" s="1" customFormat="1" ht="23" customHeight="1" x14ac:dyDescent="0.2">
      <c r="B48" s="38">
        <v>23</v>
      </c>
      <c r="C48" s="12" t="s">
        <v>21</v>
      </c>
      <c r="D48" s="46" t="s">
        <v>69</v>
      </c>
      <c r="E48" s="47"/>
      <c r="F48" s="47"/>
      <c r="G48" s="47"/>
      <c r="H48" s="47"/>
      <c r="I48" s="47"/>
      <c r="J48" s="47"/>
      <c r="K48" s="48"/>
      <c r="L48" s="40">
        <v>80</v>
      </c>
      <c r="M48" s="40" t="s">
        <v>34</v>
      </c>
      <c r="N48" s="41">
        <v>4.1900000000000004</v>
      </c>
      <c r="O48" s="40" t="s">
        <v>34</v>
      </c>
      <c r="P48" s="42">
        <f t="shared" ref="P48:P55" si="1">N48*L48</f>
        <v>335.20000000000005</v>
      </c>
    </row>
    <row r="49" spans="2:17" s="1" customFormat="1" ht="23" customHeight="1" x14ac:dyDescent="0.2">
      <c r="B49" s="38">
        <v>24</v>
      </c>
      <c r="C49" s="12" t="s">
        <v>21</v>
      </c>
      <c r="D49" s="46" t="s">
        <v>70</v>
      </c>
      <c r="E49" s="47"/>
      <c r="F49" s="47"/>
      <c r="G49" s="47"/>
      <c r="H49" s="47"/>
      <c r="I49" s="47"/>
      <c r="J49" s="47"/>
      <c r="K49" s="48"/>
      <c r="L49" s="40">
        <v>320</v>
      </c>
      <c r="M49" s="40" t="s">
        <v>34</v>
      </c>
      <c r="N49" s="41">
        <v>1.9025000000000001</v>
      </c>
      <c r="O49" s="40" t="s">
        <v>34</v>
      </c>
      <c r="P49" s="42">
        <f t="shared" si="1"/>
        <v>608.80000000000007</v>
      </c>
    </row>
    <row r="50" spans="2:17" s="1" customFormat="1" ht="23" customHeight="1" x14ac:dyDescent="0.2">
      <c r="B50" s="38">
        <v>25</v>
      </c>
      <c r="C50" s="12" t="s">
        <v>21</v>
      </c>
      <c r="D50" s="46" t="s">
        <v>71</v>
      </c>
      <c r="E50" s="47"/>
      <c r="F50" s="47"/>
      <c r="G50" s="47"/>
      <c r="H50" s="47"/>
      <c r="I50" s="47"/>
      <c r="J50" s="47"/>
      <c r="K50" s="48"/>
      <c r="L50" s="40">
        <v>240</v>
      </c>
      <c r="M50" s="40" t="s">
        <v>34</v>
      </c>
      <c r="N50" s="41">
        <v>0.62333333333333296</v>
      </c>
      <c r="O50" s="40" t="s">
        <v>34</v>
      </c>
      <c r="P50" s="42">
        <f t="shared" si="1"/>
        <v>149.59999999999991</v>
      </c>
    </row>
    <row r="51" spans="2:17" s="1" customFormat="1" ht="23" customHeight="1" x14ac:dyDescent="0.2">
      <c r="B51" s="38">
        <v>26</v>
      </c>
      <c r="C51" s="12" t="s">
        <v>21</v>
      </c>
      <c r="D51" s="46" t="s">
        <v>72</v>
      </c>
      <c r="E51" s="47"/>
      <c r="F51" s="47"/>
      <c r="G51" s="47"/>
      <c r="H51" s="47"/>
      <c r="I51" s="47"/>
      <c r="J51" s="47"/>
      <c r="K51" s="48"/>
      <c r="L51" s="40">
        <v>20</v>
      </c>
      <c r="M51" s="40" t="s">
        <v>46</v>
      </c>
      <c r="N51" s="41">
        <v>17.28</v>
      </c>
      <c r="O51" s="40" t="s">
        <v>46</v>
      </c>
      <c r="P51" s="42">
        <f t="shared" si="1"/>
        <v>345.6</v>
      </c>
    </row>
    <row r="52" spans="2:17" s="1" customFormat="1" ht="23" customHeight="1" x14ac:dyDescent="0.2">
      <c r="B52" s="38">
        <v>27</v>
      </c>
      <c r="C52" s="12" t="s">
        <v>21</v>
      </c>
      <c r="D52" s="46" t="s">
        <v>73</v>
      </c>
      <c r="E52" s="47"/>
      <c r="F52" s="47"/>
      <c r="G52" s="47"/>
      <c r="H52" s="47"/>
      <c r="I52" s="47"/>
      <c r="J52" s="47"/>
      <c r="K52" s="48"/>
      <c r="L52" s="40">
        <v>15</v>
      </c>
      <c r="M52" s="40" t="s">
        <v>46</v>
      </c>
      <c r="N52" s="41">
        <v>21.03</v>
      </c>
      <c r="O52" s="40" t="s">
        <v>46</v>
      </c>
      <c r="P52" s="42">
        <f t="shared" si="1"/>
        <v>315.45000000000005</v>
      </c>
    </row>
    <row r="53" spans="2:17" s="1" customFormat="1" ht="23" customHeight="1" x14ac:dyDescent="0.2">
      <c r="B53" s="38">
        <v>28</v>
      </c>
      <c r="C53" s="12" t="s">
        <v>21</v>
      </c>
      <c r="D53" s="46" t="s">
        <v>74</v>
      </c>
      <c r="E53" s="47"/>
      <c r="F53" s="47"/>
      <c r="G53" s="47"/>
      <c r="H53" s="47"/>
      <c r="I53" s="47"/>
      <c r="J53" s="47"/>
      <c r="K53" s="48"/>
      <c r="L53" s="40">
        <v>10</v>
      </c>
      <c r="M53" s="40" t="s">
        <v>46</v>
      </c>
      <c r="N53" s="41">
        <v>15.94</v>
      </c>
      <c r="O53" s="40" t="s">
        <v>46</v>
      </c>
      <c r="P53" s="42">
        <f t="shared" si="1"/>
        <v>159.4</v>
      </c>
    </row>
    <row r="54" spans="2:17" s="1" customFormat="1" ht="23" customHeight="1" x14ac:dyDescent="0.2">
      <c r="B54" s="38">
        <v>29</v>
      </c>
      <c r="C54" s="12" t="s">
        <v>21</v>
      </c>
      <c r="D54" s="46" t="s">
        <v>75</v>
      </c>
      <c r="E54" s="47"/>
      <c r="F54" s="47"/>
      <c r="G54" s="47"/>
      <c r="H54" s="47"/>
      <c r="I54" s="47"/>
      <c r="J54" s="47"/>
      <c r="K54" s="48"/>
      <c r="L54" s="40">
        <v>10</v>
      </c>
      <c r="M54" s="40" t="s">
        <v>46</v>
      </c>
      <c r="N54" s="41">
        <v>14.65</v>
      </c>
      <c r="O54" s="40" t="s">
        <v>46</v>
      </c>
      <c r="P54" s="42">
        <f t="shared" si="1"/>
        <v>146.5</v>
      </c>
    </row>
    <row r="55" spans="2:17" s="1" customFormat="1" ht="23" customHeight="1" x14ac:dyDescent="0.2">
      <c r="B55" s="38">
        <v>30</v>
      </c>
      <c r="C55" s="12" t="s">
        <v>21</v>
      </c>
      <c r="D55" s="46" t="s">
        <v>76</v>
      </c>
      <c r="E55" s="47"/>
      <c r="F55" s="47"/>
      <c r="G55" s="47"/>
      <c r="H55" s="47"/>
      <c r="I55" s="47"/>
      <c r="J55" s="47"/>
      <c r="K55" s="48"/>
      <c r="L55" s="40">
        <v>10</v>
      </c>
      <c r="M55" s="40" t="s">
        <v>46</v>
      </c>
      <c r="N55" s="41">
        <v>17.39</v>
      </c>
      <c r="O55" s="40" t="s">
        <v>46</v>
      </c>
      <c r="P55" s="42">
        <f t="shared" si="1"/>
        <v>173.9</v>
      </c>
    </row>
    <row r="56" spans="2:17" s="1" customFormat="1" ht="23" customHeight="1" x14ac:dyDescent="0.2">
      <c r="B56" s="38">
        <v>31</v>
      </c>
      <c r="C56" s="12" t="s">
        <v>21</v>
      </c>
      <c r="D56" s="46" t="s">
        <v>77</v>
      </c>
      <c r="E56" s="47"/>
      <c r="F56" s="47"/>
      <c r="G56" s="47"/>
      <c r="H56" s="47"/>
      <c r="I56" s="47"/>
      <c r="J56" s="47"/>
      <c r="K56" s="48"/>
      <c r="L56" s="40">
        <v>60</v>
      </c>
      <c r="M56" s="40" t="s">
        <v>34</v>
      </c>
      <c r="N56" s="41">
        <v>11</v>
      </c>
      <c r="O56" s="40" t="s">
        <v>34</v>
      </c>
      <c r="P56" s="42">
        <f t="shared" si="0"/>
        <v>660</v>
      </c>
    </row>
    <row r="57" spans="2:17" s="1" customFormat="1" ht="23" customHeight="1" x14ac:dyDescent="0.2">
      <c r="B57" s="38">
        <v>32</v>
      </c>
      <c r="C57" s="12" t="s">
        <v>21</v>
      </c>
      <c r="D57" s="46" t="s">
        <v>78</v>
      </c>
      <c r="E57" s="47"/>
      <c r="F57" s="47"/>
      <c r="G57" s="47"/>
      <c r="H57" s="47"/>
      <c r="I57" s="47"/>
      <c r="J57" s="47"/>
      <c r="K57" s="48"/>
      <c r="L57" s="40">
        <v>150</v>
      </c>
      <c r="M57" s="40" t="s">
        <v>46</v>
      </c>
      <c r="N57" s="41">
        <v>1.8</v>
      </c>
      <c r="O57" s="40" t="s">
        <v>46</v>
      </c>
      <c r="P57" s="42">
        <f t="shared" si="0"/>
        <v>270</v>
      </c>
    </row>
    <row r="58" spans="2:17" s="1" customFormat="1" ht="23" customHeight="1" x14ac:dyDescent="0.2">
      <c r="B58" s="38">
        <v>33</v>
      </c>
      <c r="C58" s="12" t="s">
        <v>21</v>
      </c>
      <c r="D58" s="46" t="s">
        <v>79</v>
      </c>
      <c r="E58" s="47"/>
      <c r="F58" s="47"/>
      <c r="G58" s="47"/>
      <c r="H58" s="47"/>
      <c r="I58" s="47"/>
      <c r="J58" s="47"/>
      <c r="K58" s="48"/>
      <c r="L58" s="40">
        <v>650</v>
      </c>
      <c r="M58" s="40" t="s">
        <v>46</v>
      </c>
      <c r="N58" s="41">
        <v>1.38846153846154</v>
      </c>
      <c r="O58" s="40" t="s">
        <v>46</v>
      </c>
      <c r="P58" s="42">
        <f t="shared" ref="P58:P61" si="2">N58*L58</f>
        <v>902.50000000000102</v>
      </c>
    </row>
    <row r="59" spans="2:17" s="1" customFormat="1" ht="23" customHeight="1" x14ac:dyDescent="0.2">
      <c r="B59" s="38">
        <v>34</v>
      </c>
      <c r="C59" s="12" t="s">
        <v>21</v>
      </c>
      <c r="D59" s="46" t="s">
        <v>80</v>
      </c>
      <c r="E59" s="47"/>
      <c r="F59" s="47"/>
      <c r="G59" s="47"/>
      <c r="H59" s="47"/>
      <c r="I59" s="47"/>
      <c r="J59" s="47"/>
      <c r="K59" s="48"/>
      <c r="L59" s="40">
        <v>15</v>
      </c>
      <c r="M59" s="40" t="s">
        <v>34</v>
      </c>
      <c r="N59" s="41">
        <v>7.9</v>
      </c>
      <c r="O59" s="40" t="s">
        <v>34</v>
      </c>
      <c r="P59" s="42">
        <f t="shared" si="2"/>
        <v>118.5</v>
      </c>
    </row>
    <row r="60" spans="2:17" s="1" customFormat="1" ht="23" customHeight="1" x14ac:dyDescent="0.2">
      <c r="B60" s="38">
        <v>35</v>
      </c>
      <c r="C60" s="12" t="s">
        <v>21</v>
      </c>
      <c r="D60" s="46" t="s">
        <v>81</v>
      </c>
      <c r="E60" s="47"/>
      <c r="F60" s="47"/>
      <c r="G60" s="47"/>
      <c r="H60" s="47"/>
      <c r="I60" s="47"/>
      <c r="J60" s="47"/>
      <c r="K60" s="48"/>
      <c r="L60" s="40">
        <v>20</v>
      </c>
      <c r="M60" s="40" t="s">
        <v>34</v>
      </c>
      <c r="N60" s="41">
        <v>9.1999999999999993</v>
      </c>
      <c r="O60" s="40" t="s">
        <v>34</v>
      </c>
      <c r="P60" s="42">
        <f t="shared" si="2"/>
        <v>184</v>
      </c>
    </row>
    <row r="61" spans="2:17" s="1" customFormat="1" ht="23" customHeight="1" x14ac:dyDescent="0.2">
      <c r="B61" s="38">
        <v>36</v>
      </c>
      <c r="C61" s="12" t="s">
        <v>21</v>
      </c>
      <c r="D61" s="46" t="s">
        <v>82</v>
      </c>
      <c r="E61" s="47"/>
      <c r="F61" s="47"/>
      <c r="G61" s="47"/>
      <c r="H61" s="47"/>
      <c r="I61" s="47"/>
      <c r="J61" s="47"/>
      <c r="K61" s="48"/>
      <c r="L61" s="40">
        <v>20</v>
      </c>
      <c r="M61" s="40" t="s">
        <v>34</v>
      </c>
      <c r="N61" s="41">
        <v>8.6</v>
      </c>
      <c r="O61" s="40" t="s">
        <v>34</v>
      </c>
      <c r="P61" s="42">
        <f t="shared" si="2"/>
        <v>172</v>
      </c>
    </row>
    <row r="62" spans="2:17" s="1" customFormat="1" ht="21" customHeight="1" thickBot="1" x14ac:dyDescent="0.25">
      <c r="B62" s="43" t="s">
        <v>22</v>
      </c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5"/>
      <c r="P62" s="15">
        <f>SUM(P26:P61)</f>
        <v>16473.330000000002</v>
      </c>
    </row>
    <row r="63" spans="2:17" s="1" customFormat="1" x14ac:dyDescent="0.2"/>
    <row r="64" spans="2:17" s="20" customFormat="1" ht="18" x14ac:dyDescent="0.2">
      <c r="B64" s="16" t="s">
        <v>27</v>
      </c>
      <c r="C64" s="16"/>
      <c r="D64" s="16"/>
      <c r="E64" s="16"/>
      <c r="F64" s="17"/>
      <c r="G64" s="17"/>
      <c r="H64" s="18"/>
      <c r="I64" s="19"/>
      <c r="Q64" s="1"/>
    </row>
    <row r="65" spans="2:17" s="20" customFormat="1" ht="18" x14ac:dyDescent="0.2">
      <c r="B65" s="21" t="s">
        <v>28</v>
      </c>
      <c r="C65" s="16"/>
      <c r="D65" s="16"/>
      <c r="E65" s="16"/>
      <c r="F65" s="17"/>
      <c r="G65" s="22"/>
      <c r="H65" s="16"/>
      <c r="I65" s="16"/>
      <c r="Q65" s="1"/>
    </row>
    <row r="66" spans="2:17" s="20" customFormat="1" ht="18" x14ac:dyDescent="0.2">
      <c r="B66" s="16"/>
      <c r="C66" s="16"/>
      <c r="D66" s="16"/>
      <c r="E66" s="16"/>
      <c r="F66" s="17"/>
      <c r="G66" s="22"/>
      <c r="H66" s="16"/>
      <c r="I66" s="16"/>
      <c r="Q66" s="1"/>
    </row>
    <row r="67" spans="2:17" s="1" customFormat="1" ht="18" x14ac:dyDescent="0.2">
      <c r="B67" s="16" t="s">
        <v>29</v>
      </c>
      <c r="C67" s="16"/>
      <c r="D67" s="16"/>
      <c r="E67" s="18"/>
      <c r="F67" s="24"/>
      <c r="G67" s="25"/>
      <c r="H67" s="16"/>
      <c r="I67" s="16"/>
      <c r="J67" s="20"/>
      <c r="K67" s="20"/>
      <c r="L67" s="20"/>
      <c r="M67" s="20"/>
      <c r="N67" s="20"/>
      <c r="O67" s="20"/>
      <c r="P67" s="20"/>
    </row>
    <row r="68" spans="2:17" s="1" customFormat="1" ht="18" x14ac:dyDescent="0.2">
      <c r="B68" s="29" t="s">
        <v>30</v>
      </c>
      <c r="C68" s="30" t="s">
        <v>37</v>
      </c>
      <c r="D68" s="30"/>
      <c r="E68" s="30"/>
      <c r="F68" s="31"/>
      <c r="G68" s="22"/>
      <c r="H68" s="16"/>
      <c r="I68" s="16"/>
      <c r="J68" s="20"/>
      <c r="K68" s="20"/>
      <c r="L68" s="20"/>
      <c r="M68" s="20"/>
      <c r="N68" s="20"/>
      <c r="O68" s="20"/>
      <c r="P68" s="20"/>
    </row>
    <row r="69" spans="2:17" s="1" customFormat="1" ht="18" x14ac:dyDescent="0.2">
      <c r="B69" s="18"/>
      <c r="C69" s="30" t="s">
        <v>38</v>
      </c>
      <c r="D69" s="30"/>
      <c r="E69" s="30"/>
      <c r="F69" s="31"/>
      <c r="G69" s="22"/>
      <c r="H69" s="16"/>
      <c r="I69" s="16"/>
      <c r="J69" s="20"/>
      <c r="K69" s="20"/>
      <c r="L69" s="20"/>
      <c r="M69" s="20"/>
      <c r="N69" s="20"/>
      <c r="O69" s="20"/>
      <c r="P69" s="20"/>
    </row>
    <row r="70" spans="2:17" s="1" customFormat="1" ht="18" x14ac:dyDescent="0.2">
      <c r="B70" s="18"/>
      <c r="C70" s="16"/>
      <c r="D70" s="16"/>
      <c r="E70" s="16"/>
      <c r="F70" s="32"/>
      <c r="G70" s="22"/>
      <c r="H70" s="18"/>
      <c r="I70" s="18"/>
      <c r="J70" s="20"/>
      <c r="K70" s="20"/>
      <c r="L70" s="20"/>
      <c r="M70" s="20"/>
      <c r="N70" s="20"/>
      <c r="O70" s="20"/>
      <c r="P70" s="20"/>
    </row>
    <row r="71" spans="2:17" s="1" customFormat="1" ht="18" x14ac:dyDescent="0.2">
      <c r="B71" s="29" t="s">
        <v>30</v>
      </c>
      <c r="C71" s="30" t="s">
        <v>39</v>
      </c>
      <c r="D71" s="30"/>
      <c r="E71" s="30"/>
      <c r="F71" s="32"/>
      <c r="G71" s="22"/>
      <c r="H71" s="18"/>
      <c r="I71" s="18"/>
      <c r="J71" s="20"/>
      <c r="K71" s="20"/>
      <c r="L71" s="20"/>
      <c r="M71" s="20"/>
      <c r="N71" s="20"/>
      <c r="O71" s="20"/>
      <c r="P71" s="20"/>
    </row>
    <row r="72" spans="2:17" s="1" customFormat="1" ht="18" x14ac:dyDescent="0.2">
      <c r="B72" s="18"/>
      <c r="C72" s="30" t="s">
        <v>40</v>
      </c>
      <c r="D72" s="30"/>
      <c r="E72" s="30"/>
      <c r="F72" s="32"/>
      <c r="G72" s="22"/>
      <c r="H72" s="18"/>
      <c r="I72" s="18"/>
      <c r="J72" s="20"/>
      <c r="K72" s="20"/>
      <c r="L72" s="20"/>
      <c r="M72" s="20"/>
      <c r="N72" s="20"/>
      <c r="O72" s="20"/>
      <c r="P72" s="20"/>
    </row>
    <row r="73" spans="2:17" s="1" customFormat="1" ht="18" x14ac:dyDescent="0.2">
      <c r="B73" s="18"/>
      <c r="C73" s="30" t="s">
        <v>31</v>
      </c>
      <c r="D73" s="30"/>
      <c r="E73" s="30"/>
      <c r="F73" s="32"/>
      <c r="G73" s="22"/>
      <c r="H73" s="18"/>
      <c r="I73" s="18"/>
      <c r="J73" s="20"/>
      <c r="K73" s="20"/>
      <c r="L73" s="20"/>
      <c r="M73" s="20"/>
      <c r="N73" s="20"/>
      <c r="O73" s="20"/>
      <c r="P73" s="20"/>
    </row>
    <row r="74" spans="2:17" s="1" customFormat="1" ht="18" x14ac:dyDescent="0.2">
      <c r="B74" s="16"/>
      <c r="C74" s="30" t="s">
        <v>32</v>
      </c>
      <c r="D74" s="16"/>
      <c r="E74" s="16"/>
      <c r="F74" s="32"/>
      <c r="G74" s="22"/>
      <c r="H74" s="18"/>
      <c r="I74" s="18"/>
      <c r="J74" s="20"/>
      <c r="K74" s="20"/>
      <c r="L74" s="20"/>
      <c r="M74" s="20"/>
      <c r="N74" s="20"/>
      <c r="O74" s="20"/>
      <c r="P74" s="20"/>
    </row>
    <row r="75" spans="2:17" s="1" customFormat="1" ht="18" x14ac:dyDescent="0.2">
      <c r="B75" s="16"/>
      <c r="C75" s="30" t="s">
        <v>33</v>
      </c>
      <c r="D75" s="16"/>
      <c r="E75" s="16"/>
      <c r="F75" s="32"/>
      <c r="G75" s="22"/>
      <c r="H75" s="18"/>
      <c r="I75" s="18"/>
      <c r="J75" s="20"/>
      <c r="K75" s="20"/>
      <c r="L75" s="20"/>
      <c r="M75" s="20"/>
      <c r="N75" s="20"/>
      <c r="O75" s="20"/>
      <c r="P75" s="20"/>
    </row>
    <row r="76" spans="2:17" s="1" customFormat="1" ht="18" x14ac:dyDescent="0.2">
      <c r="B76" s="16"/>
      <c r="C76" s="16"/>
      <c r="D76" s="16"/>
      <c r="E76" s="16"/>
      <c r="F76" s="32"/>
      <c r="G76" s="22"/>
      <c r="H76" s="18"/>
      <c r="I76" s="18"/>
      <c r="J76" s="20"/>
      <c r="K76" s="20"/>
      <c r="L76" s="20"/>
      <c r="M76" s="20"/>
      <c r="N76" s="20"/>
      <c r="O76" s="20"/>
      <c r="P76" s="20"/>
    </row>
    <row r="77" spans="2:17" s="1" customFormat="1" ht="18" x14ac:dyDescent="0.2">
      <c r="B77" s="33" t="s">
        <v>30</v>
      </c>
      <c r="C77" s="16" t="s">
        <v>41</v>
      </c>
      <c r="D77" s="16"/>
      <c r="E77" s="16"/>
      <c r="F77" s="32"/>
      <c r="G77" s="22"/>
      <c r="H77" s="18"/>
      <c r="I77" s="18"/>
      <c r="J77" s="20"/>
      <c r="K77" s="20"/>
      <c r="L77" s="20"/>
      <c r="M77" s="20"/>
      <c r="N77" s="20"/>
      <c r="O77" s="20"/>
      <c r="P77" s="20"/>
    </row>
    <row r="78" spans="2:17" s="1" customFormat="1" ht="18" x14ac:dyDescent="0.2">
      <c r="B78" s="26"/>
      <c r="C78" s="30" t="s">
        <v>42</v>
      </c>
      <c r="D78" s="30"/>
      <c r="E78" s="34"/>
      <c r="F78" s="35"/>
      <c r="G78" s="27"/>
      <c r="H78" s="26"/>
      <c r="I78" s="26"/>
      <c r="J78" s="20"/>
      <c r="K78" s="20"/>
      <c r="L78" s="20"/>
      <c r="M78" s="20"/>
      <c r="N78" s="20"/>
      <c r="O78" s="20"/>
      <c r="P78" s="20"/>
    </row>
    <row r="79" spans="2:17" s="1" customFormat="1" ht="18" x14ac:dyDescent="0.2">
      <c r="B79" s="18"/>
      <c r="C79" s="16" t="s">
        <v>43</v>
      </c>
      <c r="D79" s="16"/>
      <c r="E79" s="36"/>
      <c r="F79" s="32"/>
      <c r="G79" s="22"/>
      <c r="H79" s="18"/>
      <c r="I79" s="18"/>
      <c r="J79" s="20"/>
      <c r="K79" s="20"/>
      <c r="L79" s="20"/>
      <c r="M79" s="20"/>
      <c r="N79" s="20"/>
      <c r="O79" s="20"/>
      <c r="P79" s="20"/>
    </row>
    <row r="80" spans="2:17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  <row r="167" s="1" customFormat="1" x14ac:dyDescent="0.2"/>
    <row r="168" s="1" customFormat="1" x14ac:dyDescent="0.2"/>
    <row r="169" s="1" customFormat="1" x14ac:dyDescent="0.2"/>
    <row r="170" s="1" customFormat="1" x14ac:dyDescent="0.2"/>
    <row r="171" s="1" customFormat="1" x14ac:dyDescent="0.2"/>
    <row r="172" s="1" customFormat="1" x14ac:dyDescent="0.2"/>
    <row r="173" s="1" customFormat="1" x14ac:dyDescent="0.2"/>
    <row r="174" s="1" customFormat="1" x14ac:dyDescent="0.2"/>
    <row r="175" s="1" customFormat="1" x14ac:dyDescent="0.2"/>
    <row r="176" s="1" customFormat="1" x14ac:dyDescent="0.2"/>
    <row r="177" s="1" customFormat="1" x14ac:dyDescent="0.2"/>
    <row r="178" s="1" customFormat="1" x14ac:dyDescent="0.2"/>
    <row r="179" s="1" customFormat="1" x14ac:dyDescent="0.2"/>
    <row r="180" s="1" customFormat="1" x14ac:dyDescent="0.2"/>
    <row r="181" s="1" customFormat="1" x14ac:dyDescent="0.2"/>
    <row r="182" s="1" customFormat="1" x14ac:dyDescent="0.2"/>
    <row r="183" s="1" customFormat="1" x14ac:dyDescent="0.2"/>
    <row r="184" s="1" customFormat="1" x14ac:dyDescent="0.2"/>
    <row r="185" s="1" customFormat="1" x14ac:dyDescent="0.2"/>
    <row r="186" s="1" customFormat="1" x14ac:dyDescent="0.2"/>
    <row r="187" s="1" customFormat="1" x14ac:dyDescent="0.2"/>
    <row r="188" s="1" customFormat="1" x14ac:dyDescent="0.2"/>
    <row r="189" s="1" customFormat="1" x14ac:dyDescent="0.2"/>
    <row r="190" s="1" customFormat="1" x14ac:dyDescent="0.2"/>
    <row r="191" s="1" customFormat="1" x14ac:dyDescent="0.2"/>
    <row r="192" s="1" customFormat="1" x14ac:dyDescent="0.2"/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  <row r="205" s="1" customFormat="1" x14ac:dyDescent="0.2"/>
    <row r="206" s="1" customFormat="1" x14ac:dyDescent="0.2"/>
    <row r="207" s="1" customFormat="1" x14ac:dyDescent="0.2"/>
    <row r="208" s="1" customFormat="1" x14ac:dyDescent="0.2"/>
    <row r="209" s="1" customFormat="1" x14ac:dyDescent="0.2"/>
    <row r="210" s="1" customFormat="1" x14ac:dyDescent="0.2"/>
    <row r="211" s="1" customFormat="1" x14ac:dyDescent="0.2"/>
    <row r="212" s="1" customFormat="1" x14ac:dyDescent="0.2"/>
    <row r="213" s="1" customFormat="1" x14ac:dyDescent="0.2"/>
    <row r="214" s="1" customFormat="1" x14ac:dyDescent="0.2"/>
    <row r="215" s="1" customFormat="1" x14ac:dyDescent="0.2"/>
    <row r="216" s="1" customFormat="1" x14ac:dyDescent="0.2"/>
    <row r="217" s="1" customFormat="1" x14ac:dyDescent="0.2"/>
    <row r="218" s="1" customFormat="1" x14ac:dyDescent="0.2"/>
    <row r="219" s="1" customFormat="1" x14ac:dyDescent="0.2"/>
    <row r="220" s="1" customFormat="1" x14ac:dyDescent="0.2"/>
    <row r="221" s="1" customFormat="1" x14ac:dyDescent="0.2"/>
    <row r="222" s="1" customFormat="1" x14ac:dyDescent="0.2"/>
    <row r="223" s="1" customFormat="1" x14ac:dyDescent="0.2"/>
    <row r="224" s="1" customFormat="1" x14ac:dyDescent="0.2"/>
    <row r="225" s="1" customFormat="1" x14ac:dyDescent="0.2"/>
    <row r="226" s="1" customFormat="1" x14ac:dyDescent="0.2"/>
    <row r="227" s="1" customFormat="1" x14ac:dyDescent="0.2"/>
    <row r="228" s="1" customFormat="1" x14ac:dyDescent="0.2"/>
    <row r="229" s="1" customFormat="1" x14ac:dyDescent="0.2"/>
    <row r="230" s="1" customFormat="1" x14ac:dyDescent="0.2"/>
    <row r="231" s="1" customFormat="1" x14ac:dyDescent="0.2"/>
    <row r="232" s="1" customFormat="1" x14ac:dyDescent="0.2"/>
    <row r="233" s="1" customFormat="1" x14ac:dyDescent="0.2"/>
    <row r="234" s="1" customFormat="1" x14ac:dyDescent="0.2"/>
    <row r="235" s="1" customFormat="1" x14ac:dyDescent="0.2"/>
    <row r="236" s="1" customFormat="1" x14ac:dyDescent="0.2"/>
    <row r="237" s="1" customFormat="1" x14ac:dyDescent="0.2"/>
    <row r="238" s="1" customFormat="1" x14ac:dyDescent="0.2"/>
  </sheetData>
  <mergeCells count="45">
    <mergeCell ref="D55:K55"/>
    <mergeCell ref="D58:K58"/>
    <mergeCell ref="D59:K59"/>
    <mergeCell ref="D60:K60"/>
    <mergeCell ref="E5:M7"/>
    <mergeCell ref="H8:J8"/>
    <mergeCell ref="D35:K35"/>
    <mergeCell ref="D37:K37"/>
    <mergeCell ref="D46:K46"/>
    <mergeCell ref="D47:K47"/>
    <mergeCell ref="D36:K36"/>
    <mergeCell ref="D43:K43"/>
    <mergeCell ref="D44:K44"/>
    <mergeCell ref="D45:K45"/>
    <mergeCell ref="N13:O13"/>
    <mergeCell ref="N14:O14"/>
    <mergeCell ref="N15:O15"/>
    <mergeCell ref="D33:K33"/>
    <mergeCell ref="D34:K34"/>
    <mergeCell ref="D25:K25"/>
    <mergeCell ref="L25:M25"/>
    <mergeCell ref="N25:O25"/>
    <mergeCell ref="D26:K26"/>
    <mergeCell ref="D27:K27"/>
    <mergeCell ref="D28:K28"/>
    <mergeCell ref="D29:K29"/>
    <mergeCell ref="D30:K30"/>
    <mergeCell ref="D31:K31"/>
    <mergeCell ref="D32:K32"/>
    <mergeCell ref="B62:O62"/>
    <mergeCell ref="D57:K57"/>
    <mergeCell ref="D56:K56"/>
    <mergeCell ref="D38:K38"/>
    <mergeCell ref="D39:K39"/>
    <mergeCell ref="D40:K40"/>
    <mergeCell ref="D41:K41"/>
    <mergeCell ref="D42:K42"/>
    <mergeCell ref="D48:K48"/>
    <mergeCell ref="D49:K49"/>
    <mergeCell ref="D50:K50"/>
    <mergeCell ref="D51:K51"/>
    <mergeCell ref="D52:K52"/>
    <mergeCell ref="D53:K53"/>
    <mergeCell ref="D61:K61"/>
    <mergeCell ref="D54:K54"/>
  </mergeCells>
  <hyperlinks>
    <hyperlink ref="F22" r:id="rId1" xr:uid="{93157960-28E9-4C16-A58D-E140BD99BD91}"/>
  </hyperlinks>
  <pageMargins left="0.7" right="0.7" top="0.75" bottom="0.75" header="0.3" footer="0.3"/>
  <pageSetup paperSize="9" scale="39"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D39B-7617-4F12-95D9-8A6E289A6052}">
  <sheetPr codeName="Hoja3">
    <pageSetUpPr fitToPage="1"/>
  </sheetPr>
  <dimension ref="B1:Q244"/>
  <sheetViews>
    <sheetView tabSelected="1" topLeftCell="A44" zoomScale="69" zoomScaleNormal="69" workbookViewId="0">
      <selection activeCell="D39" sqref="D39:K39"/>
    </sheetView>
  </sheetViews>
  <sheetFormatPr baseColWidth="10" defaultRowHeight="15" x14ac:dyDescent="0.2"/>
  <cols>
    <col min="2" max="2" width="16.5" customWidth="1"/>
    <col min="3" max="3" width="18.83203125" customWidth="1"/>
    <col min="6" max="6" width="15.6640625" customWidth="1"/>
    <col min="13" max="13" width="15.5" customWidth="1"/>
    <col min="14" max="14" width="13.83203125" bestFit="1" customWidth="1"/>
    <col min="16" max="16" width="29.5" customWidth="1"/>
  </cols>
  <sheetData>
    <row r="1" spans="5:16" s="1" customFormat="1" x14ac:dyDescent="0.2"/>
    <row r="2" spans="5:16" s="1" customFormat="1" x14ac:dyDescent="0.2"/>
    <row r="3" spans="5:16" s="1" customFormat="1" x14ac:dyDescent="0.2"/>
    <row r="4" spans="5:16" s="1" customFormat="1" x14ac:dyDescent="0.2"/>
    <row r="5" spans="5:16" s="1" customFormat="1" ht="15" customHeight="1" x14ac:dyDescent="0.2">
      <c r="E5" s="51" t="s">
        <v>0</v>
      </c>
      <c r="F5" s="51"/>
      <c r="G5" s="51"/>
      <c r="H5" s="51"/>
      <c r="I5" s="51"/>
      <c r="J5" s="51"/>
      <c r="K5" s="51"/>
      <c r="L5" s="51"/>
      <c r="M5" s="51"/>
    </row>
    <row r="6" spans="5:16" s="1" customFormat="1" ht="15" customHeight="1" x14ac:dyDescent="0.2">
      <c r="E6" s="51"/>
      <c r="F6" s="51"/>
      <c r="G6" s="51"/>
      <c r="H6" s="51"/>
      <c r="I6" s="51"/>
      <c r="J6" s="51"/>
      <c r="K6" s="51"/>
      <c r="L6" s="51"/>
      <c r="M6" s="51"/>
    </row>
    <row r="7" spans="5:16" s="1" customFormat="1" ht="15" customHeight="1" x14ac:dyDescent="0.2">
      <c r="E7" s="51"/>
      <c r="F7" s="51"/>
      <c r="G7" s="51"/>
      <c r="H7" s="51"/>
      <c r="I7" s="51"/>
      <c r="J7" s="51"/>
      <c r="K7" s="51"/>
      <c r="L7" s="51"/>
      <c r="M7" s="51"/>
    </row>
    <row r="8" spans="5:16" s="1" customFormat="1" ht="15" customHeight="1" x14ac:dyDescent="0.2">
      <c r="H8" s="52" t="s">
        <v>1</v>
      </c>
      <c r="I8" s="52"/>
      <c r="J8" s="52"/>
    </row>
    <row r="9" spans="5:16" s="1" customFormat="1" ht="15" customHeight="1" x14ac:dyDescent="0.2"/>
    <row r="10" spans="5:16" s="1" customFormat="1" ht="15" customHeight="1" x14ac:dyDescent="0.2"/>
    <row r="11" spans="5:16" s="1" customFormat="1" ht="15" customHeight="1" x14ac:dyDescent="0.2">
      <c r="E11" s="3" t="s">
        <v>2</v>
      </c>
      <c r="F11" s="3"/>
      <c r="G11" s="3"/>
      <c r="H11" s="3"/>
      <c r="I11" s="3"/>
      <c r="J11" s="3"/>
      <c r="K11" s="3"/>
      <c r="L11" s="3"/>
      <c r="M11" s="3"/>
    </row>
    <row r="12" spans="5:16" s="1" customFormat="1" ht="15" customHeight="1" x14ac:dyDescent="0.2">
      <c r="E12" s="1" t="s">
        <v>3</v>
      </c>
      <c r="F12" s="1" t="s">
        <v>35</v>
      </c>
    </row>
    <row r="13" spans="5:16" s="1" customFormat="1" ht="15" customHeight="1" x14ac:dyDescent="0.2">
      <c r="E13" s="1" t="s">
        <v>4</v>
      </c>
      <c r="F13" s="1" t="s">
        <v>36</v>
      </c>
      <c r="N13" s="49" t="s">
        <v>5</v>
      </c>
      <c r="O13" s="49"/>
      <c r="P13" s="4">
        <v>91100080</v>
      </c>
    </row>
    <row r="14" spans="5:16" s="1" customFormat="1" ht="15" customHeight="1" x14ac:dyDescent="0.2">
      <c r="E14" s="1" t="s">
        <v>6</v>
      </c>
      <c r="F14" s="5" t="s">
        <v>23</v>
      </c>
      <c r="N14" s="49" t="s">
        <v>7</v>
      </c>
      <c r="O14" s="49"/>
      <c r="P14" s="23">
        <v>45555</v>
      </c>
    </row>
    <row r="15" spans="5:16" s="1" customFormat="1" ht="15" customHeight="1" x14ac:dyDescent="0.2">
      <c r="E15" s="1" t="s">
        <v>8</v>
      </c>
      <c r="F15" s="1" t="s">
        <v>44</v>
      </c>
      <c r="N15" s="49" t="s">
        <v>9</v>
      </c>
      <c r="O15" s="49"/>
      <c r="P15" s="4" t="s">
        <v>10</v>
      </c>
    </row>
    <row r="16" spans="5:16" s="1" customFormat="1" ht="15" customHeight="1" x14ac:dyDescent="0.2"/>
    <row r="17" spans="2:17" s="1" customFormat="1" ht="15" customHeight="1" x14ac:dyDescent="0.2">
      <c r="E17" s="3" t="s">
        <v>11</v>
      </c>
      <c r="F17" s="3"/>
      <c r="G17" s="3"/>
      <c r="H17" s="3"/>
      <c r="I17" s="3"/>
      <c r="J17" s="3"/>
      <c r="K17" s="3"/>
      <c r="L17" s="3"/>
      <c r="M17" s="3"/>
    </row>
    <row r="18" spans="2:17" s="1" customFormat="1" ht="15" customHeight="1" x14ac:dyDescent="0.2">
      <c r="E18" s="1" t="s">
        <v>3</v>
      </c>
      <c r="F18" s="1" t="s">
        <v>24</v>
      </c>
    </row>
    <row r="19" spans="2:17" s="1" customFormat="1" ht="15" customHeight="1" x14ac:dyDescent="0.2">
      <c r="E19" s="1" t="s">
        <v>4</v>
      </c>
      <c r="F19" s="1" t="s">
        <v>25</v>
      </c>
    </row>
    <row r="20" spans="2:17" s="1" customFormat="1" ht="15" customHeight="1" x14ac:dyDescent="0.2">
      <c r="E20" s="1" t="s">
        <v>12</v>
      </c>
      <c r="F20" s="5">
        <v>20612452432</v>
      </c>
    </row>
    <row r="21" spans="2:17" s="1" customFormat="1" ht="15" customHeight="1" x14ac:dyDescent="0.2">
      <c r="E21" s="1" t="s">
        <v>13</v>
      </c>
      <c r="F21" s="6" t="s">
        <v>26</v>
      </c>
    </row>
    <row r="22" spans="2:17" s="1" customFormat="1" ht="15" customHeight="1" x14ac:dyDescent="0.2">
      <c r="E22" s="1" t="s">
        <v>14</v>
      </c>
      <c r="F22" s="7" t="s">
        <v>45</v>
      </c>
    </row>
    <row r="23" spans="2:17" s="1" customFormat="1" x14ac:dyDescent="0.2"/>
    <row r="24" spans="2:17" s="1" customFormat="1" ht="21.5" customHeight="1" thickBot="1" x14ac:dyDescent="0.25"/>
    <row r="25" spans="2:17" s="1" customFormat="1" x14ac:dyDescent="0.2">
      <c r="B25" s="8" t="s">
        <v>15</v>
      </c>
      <c r="C25" s="9" t="s">
        <v>16</v>
      </c>
      <c r="D25" s="54" t="s">
        <v>17</v>
      </c>
      <c r="E25" s="54"/>
      <c r="F25" s="54"/>
      <c r="G25" s="54"/>
      <c r="H25" s="54"/>
      <c r="I25" s="54"/>
      <c r="J25" s="54"/>
      <c r="K25" s="54"/>
      <c r="L25" s="54" t="s">
        <v>18</v>
      </c>
      <c r="M25" s="54"/>
      <c r="N25" s="54" t="s">
        <v>19</v>
      </c>
      <c r="O25" s="54"/>
      <c r="P25" s="10" t="s">
        <v>20</v>
      </c>
      <c r="Q25" s="2"/>
    </row>
    <row r="26" spans="2:17" s="1" customFormat="1" ht="23" customHeight="1" x14ac:dyDescent="0.2">
      <c r="B26" s="11">
        <v>37</v>
      </c>
      <c r="C26" s="12" t="s">
        <v>21</v>
      </c>
      <c r="D26" s="53" t="s">
        <v>83</v>
      </c>
      <c r="E26" s="53"/>
      <c r="F26" s="53"/>
      <c r="G26" s="53"/>
      <c r="H26" s="53"/>
      <c r="I26" s="53"/>
      <c r="J26" s="53"/>
      <c r="K26" s="53"/>
      <c r="L26" s="12">
        <v>40</v>
      </c>
      <c r="M26" s="28" t="s">
        <v>34</v>
      </c>
      <c r="N26" s="13">
        <v>4.5999999999999996</v>
      </c>
      <c r="O26" s="12" t="s">
        <v>34</v>
      </c>
      <c r="P26" s="14">
        <f t="shared" ref="P26:P62" si="0">N26*L26</f>
        <v>184</v>
      </c>
    </row>
    <row r="27" spans="2:17" s="1" customFormat="1" ht="23" customHeight="1" x14ac:dyDescent="0.2">
      <c r="B27" s="11">
        <v>38</v>
      </c>
      <c r="C27" s="12" t="s">
        <v>21</v>
      </c>
      <c r="D27" s="53" t="s">
        <v>84</v>
      </c>
      <c r="E27" s="53"/>
      <c r="F27" s="53"/>
      <c r="G27" s="53"/>
      <c r="H27" s="53"/>
      <c r="I27" s="53"/>
      <c r="J27" s="53"/>
      <c r="K27" s="53"/>
      <c r="L27" s="12">
        <v>350</v>
      </c>
      <c r="M27" s="28" t="s">
        <v>34</v>
      </c>
      <c r="N27" s="13">
        <v>1.1285714285714299</v>
      </c>
      <c r="O27" s="12" t="s">
        <v>34</v>
      </c>
      <c r="P27" s="14">
        <f t="shared" ref="P27" si="1">N27*L27</f>
        <v>395.00000000000045</v>
      </c>
    </row>
    <row r="28" spans="2:17" s="1" customFormat="1" ht="23" customHeight="1" x14ac:dyDescent="0.2">
      <c r="B28" s="11">
        <v>39</v>
      </c>
      <c r="C28" s="12" t="s">
        <v>21</v>
      </c>
      <c r="D28" s="53" t="s">
        <v>85</v>
      </c>
      <c r="E28" s="53"/>
      <c r="F28" s="53"/>
      <c r="G28" s="53"/>
      <c r="H28" s="53"/>
      <c r="I28" s="53"/>
      <c r="J28" s="53"/>
      <c r="K28" s="53"/>
      <c r="L28" s="12">
        <v>50</v>
      </c>
      <c r="M28" s="28" t="s">
        <v>34</v>
      </c>
      <c r="N28" s="13">
        <v>1.2</v>
      </c>
      <c r="O28" s="12" t="s">
        <v>34</v>
      </c>
      <c r="P28" s="14">
        <f t="shared" si="0"/>
        <v>60</v>
      </c>
    </row>
    <row r="29" spans="2:17" s="1" customFormat="1" ht="23" customHeight="1" x14ac:dyDescent="0.2">
      <c r="B29" s="11">
        <v>40</v>
      </c>
      <c r="C29" s="12" t="s">
        <v>21</v>
      </c>
      <c r="D29" s="53" t="s">
        <v>86</v>
      </c>
      <c r="E29" s="53"/>
      <c r="F29" s="53"/>
      <c r="G29" s="53"/>
      <c r="H29" s="53"/>
      <c r="I29" s="53"/>
      <c r="J29" s="53"/>
      <c r="K29" s="53"/>
      <c r="L29" s="12">
        <v>70</v>
      </c>
      <c r="M29" s="28" t="s">
        <v>34</v>
      </c>
      <c r="N29" s="13">
        <v>2.2999999999999998</v>
      </c>
      <c r="O29" s="12" t="s">
        <v>34</v>
      </c>
      <c r="P29" s="14">
        <f t="shared" si="0"/>
        <v>161</v>
      </c>
    </row>
    <row r="30" spans="2:17" s="1" customFormat="1" ht="23" customHeight="1" x14ac:dyDescent="0.2">
      <c r="B30" s="11">
        <v>41</v>
      </c>
      <c r="C30" s="12" t="s">
        <v>21</v>
      </c>
      <c r="D30" s="53" t="s">
        <v>87</v>
      </c>
      <c r="E30" s="53"/>
      <c r="F30" s="53"/>
      <c r="G30" s="53"/>
      <c r="H30" s="53"/>
      <c r="I30" s="53"/>
      <c r="J30" s="53"/>
      <c r="K30" s="53"/>
      <c r="L30" s="12">
        <v>150</v>
      </c>
      <c r="M30" s="28" t="s">
        <v>34</v>
      </c>
      <c r="N30" s="13">
        <v>0.85</v>
      </c>
      <c r="O30" s="12" t="s">
        <v>34</v>
      </c>
      <c r="P30" s="14">
        <f t="shared" si="0"/>
        <v>127.5</v>
      </c>
    </row>
    <row r="31" spans="2:17" s="1" customFormat="1" ht="23" customHeight="1" x14ac:dyDescent="0.2">
      <c r="B31" s="11">
        <v>42</v>
      </c>
      <c r="C31" s="12" t="s">
        <v>21</v>
      </c>
      <c r="D31" s="53" t="s">
        <v>88</v>
      </c>
      <c r="E31" s="53"/>
      <c r="F31" s="53"/>
      <c r="G31" s="53"/>
      <c r="H31" s="53"/>
      <c r="I31" s="53"/>
      <c r="J31" s="53"/>
      <c r="K31" s="53"/>
      <c r="L31" s="12">
        <v>1000</v>
      </c>
      <c r="M31" s="28" t="s">
        <v>34</v>
      </c>
      <c r="N31" s="13">
        <v>1.7</v>
      </c>
      <c r="O31" s="12" t="s">
        <v>34</v>
      </c>
      <c r="P31" s="14">
        <f t="shared" si="0"/>
        <v>1700</v>
      </c>
    </row>
    <row r="32" spans="2:17" s="1" customFormat="1" ht="23" customHeight="1" x14ac:dyDescent="0.2">
      <c r="B32" s="11">
        <v>43</v>
      </c>
      <c r="C32" s="12" t="s">
        <v>21</v>
      </c>
      <c r="D32" s="53" t="s">
        <v>89</v>
      </c>
      <c r="E32" s="53"/>
      <c r="F32" s="53"/>
      <c r="G32" s="53"/>
      <c r="H32" s="53"/>
      <c r="I32" s="53"/>
      <c r="J32" s="53"/>
      <c r="K32" s="53"/>
      <c r="L32" s="12">
        <v>300</v>
      </c>
      <c r="M32" s="28" t="s">
        <v>34</v>
      </c>
      <c r="N32" s="13">
        <v>4.7</v>
      </c>
      <c r="O32" s="12" t="s">
        <v>34</v>
      </c>
      <c r="P32" s="14">
        <f t="shared" si="0"/>
        <v>1410</v>
      </c>
    </row>
    <row r="33" spans="2:16" s="1" customFormat="1" ht="23" customHeight="1" x14ac:dyDescent="0.2">
      <c r="B33" s="11">
        <v>44</v>
      </c>
      <c r="C33" s="12" t="s">
        <v>21</v>
      </c>
      <c r="D33" s="53" t="s">
        <v>90</v>
      </c>
      <c r="E33" s="53"/>
      <c r="F33" s="53"/>
      <c r="G33" s="53"/>
      <c r="H33" s="53"/>
      <c r="I33" s="53"/>
      <c r="J33" s="53"/>
      <c r="K33" s="53"/>
      <c r="L33" s="12">
        <v>100</v>
      </c>
      <c r="M33" s="28" t="s">
        <v>46</v>
      </c>
      <c r="N33" s="13">
        <v>3</v>
      </c>
      <c r="O33" s="12" t="s">
        <v>46</v>
      </c>
      <c r="P33" s="14">
        <f t="shared" si="0"/>
        <v>300</v>
      </c>
    </row>
    <row r="34" spans="2:16" s="1" customFormat="1" ht="23" customHeight="1" x14ac:dyDescent="0.2">
      <c r="B34" s="11">
        <v>45</v>
      </c>
      <c r="C34" s="12" t="s">
        <v>21</v>
      </c>
      <c r="D34" s="53" t="s">
        <v>91</v>
      </c>
      <c r="E34" s="53"/>
      <c r="F34" s="53"/>
      <c r="G34" s="53"/>
      <c r="H34" s="53"/>
      <c r="I34" s="53"/>
      <c r="J34" s="53"/>
      <c r="K34" s="53"/>
      <c r="L34" s="12">
        <v>100</v>
      </c>
      <c r="M34" s="28" t="s">
        <v>46</v>
      </c>
      <c r="N34" s="13">
        <v>2</v>
      </c>
      <c r="O34" s="12" t="s">
        <v>46</v>
      </c>
      <c r="P34" s="14">
        <f t="shared" si="0"/>
        <v>200</v>
      </c>
    </row>
    <row r="35" spans="2:16" s="1" customFormat="1" ht="23" customHeight="1" x14ac:dyDescent="0.2">
      <c r="B35" s="11">
        <v>46</v>
      </c>
      <c r="C35" s="12" t="s">
        <v>21</v>
      </c>
      <c r="D35" s="53" t="s">
        <v>92</v>
      </c>
      <c r="E35" s="53"/>
      <c r="F35" s="53"/>
      <c r="G35" s="53"/>
      <c r="H35" s="53"/>
      <c r="I35" s="53"/>
      <c r="J35" s="53"/>
      <c r="K35" s="53"/>
      <c r="L35" s="12">
        <v>100</v>
      </c>
      <c r="M35" s="28" t="s">
        <v>46</v>
      </c>
      <c r="N35" s="13">
        <v>1.5</v>
      </c>
      <c r="O35" s="12" t="s">
        <v>46</v>
      </c>
      <c r="P35" s="14">
        <f t="shared" si="0"/>
        <v>150</v>
      </c>
    </row>
    <row r="36" spans="2:16" s="1" customFormat="1" ht="23" customHeight="1" x14ac:dyDescent="0.2">
      <c r="B36" s="11">
        <v>47</v>
      </c>
      <c r="C36" s="12" t="s">
        <v>21</v>
      </c>
      <c r="D36" s="53" t="s">
        <v>93</v>
      </c>
      <c r="E36" s="53"/>
      <c r="F36" s="53"/>
      <c r="G36" s="53"/>
      <c r="H36" s="53"/>
      <c r="I36" s="53"/>
      <c r="J36" s="53"/>
      <c r="K36" s="53"/>
      <c r="L36" s="12">
        <v>30</v>
      </c>
      <c r="M36" s="28" t="s">
        <v>46</v>
      </c>
      <c r="N36" s="13">
        <v>14.5</v>
      </c>
      <c r="O36" s="12" t="s">
        <v>46</v>
      </c>
      <c r="P36" s="14">
        <f t="shared" si="0"/>
        <v>435</v>
      </c>
    </row>
    <row r="37" spans="2:16" s="1" customFormat="1" ht="23" customHeight="1" x14ac:dyDescent="0.2">
      <c r="B37" s="11">
        <v>48</v>
      </c>
      <c r="C37" s="12" t="s">
        <v>21</v>
      </c>
      <c r="D37" s="53" t="s">
        <v>94</v>
      </c>
      <c r="E37" s="53"/>
      <c r="F37" s="53"/>
      <c r="G37" s="53"/>
      <c r="H37" s="53"/>
      <c r="I37" s="53"/>
      <c r="J37" s="53"/>
      <c r="K37" s="53"/>
      <c r="L37" s="12">
        <v>510</v>
      </c>
      <c r="M37" s="28" t="s">
        <v>34</v>
      </c>
      <c r="N37" s="13">
        <v>2.25</v>
      </c>
      <c r="O37" s="12" t="s">
        <v>34</v>
      </c>
      <c r="P37" s="14">
        <f t="shared" si="0"/>
        <v>1147.5</v>
      </c>
    </row>
    <row r="38" spans="2:16" s="1" customFormat="1" ht="23" customHeight="1" x14ac:dyDescent="0.2">
      <c r="B38" s="11">
        <v>49</v>
      </c>
      <c r="C38" s="12" t="s">
        <v>21</v>
      </c>
      <c r="D38" s="53" t="s">
        <v>95</v>
      </c>
      <c r="E38" s="53"/>
      <c r="F38" s="53"/>
      <c r="G38" s="53"/>
      <c r="H38" s="53"/>
      <c r="I38" s="53"/>
      <c r="J38" s="53"/>
      <c r="K38" s="53"/>
      <c r="L38" s="12">
        <v>200</v>
      </c>
      <c r="M38" s="28" t="s">
        <v>34</v>
      </c>
      <c r="N38" s="13">
        <v>14.02</v>
      </c>
      <c r="O38" s="12" t="s">
        <v>34</v>
      </c>
      <c r="P38" s="14">
        <f t="shared" si="0"/>
        <v>2804</v>
      </c>
    </row>
    <row r="39" spans="2:16" s="1" customFormat="1" ht="23" customHeight="1" x14ac:dyDescent="0.2">
      <c r="B39" s="11">
        <v>50</v>
      </c>
      <c r="C39" s="12" t="s">
        <v>21</v>
      </c>
      <c r="D39" s="53" t="s">
        <v>96</v>
      </c>
      <c r="E39" s="53"/>
      <c r="F39" s="53"/>
      <c r="G39" s="53"/>
      <c r="H39" s="53"/>
      <c r="I39" s="53"/>
      <c r="J39" s="53"/>
      <c r="K39" s="53"/>
      <c r="L39" s="12">
        <v>150</v>
      </c>
      <c r="M39" s="28" t="s">
        <v>34</v>
      </c>
      <c r="N39" s="13">
        <v>5.01</v>
      </c>
      <c r="O39" s="12" t="s">
        <v>34</v>
      </c>
      <c r="P39" s="14">
        <f t="shared" ref="P39:P61" si="2">N39*L39</f>
        <v>751.5</v>
      </c>
    </row>
    <row r="40" spans="2:16" s="1" customFormat="1" ht="23" customHeight="1" x14ac:dyDescent="0.2">
      <c r="B40" s="11">
        <v>51</v>
      </c>
      <c r="C40" s="12" t="s">
        <v>21</v>
      </c>
      <c r="D40" s="53" t="s">
        <v>97</v>
      </c>
      <c r="E40" s="53"/>
      <c r="F40" s="53"/>
      <c r="G40" s="53"/>
      <c r="H40" s="53"/>
      <c r="I40" s="53"/>
      <c r="J40" s="53"/>
      <c r="K40" s="53"/>
      <c r="L40" s="12">
        <v>400</v>
      </c>
      <c r="M40" s="28" t="s">
        <v>34</v>
      </c>
      <c r="N40" s="13">
        <v>0.46</v>
      </c>
      <c r="O40" s="12" t="s">
        <v>34</v>
      </c>
      <c r="P40" s="14">
        <f t="shared" si="2"/>
        <v>184</v>
      </c>
    </row>
    <row r="41" spans="2:16" s="1" customFormat="1" ht="23" customHeight="1" x14ac:dyDescent="0.2">
      <c r="B41" s="11">
        <v>52</v>
      </c>
      <c r="C41" s="12" t="s">
        <v>21</v>
      </c>
      <c r="D41" s="53" t="s">
        <v>98</v>
      </c>
      <c r="E41" s="53"/>
      <c r="F41" s="53"/>
      <c r="G41" s="53"/>
      <c r="H41" s="53"/>
      <c r="I41" s="53"/>
      <c r="J41" s="53"/>
      <c r="K41" s="53"/>
      <c r="L41" s="12">
        <v>50</v>
      </c>
      <c r="M41" s="28" t="s">
        <v>34</v>
      </c>
      <c r="N41" s="13">
        <v>5.9</v>
      </c>
      <c r="O41" s="12" t="s">
        <v>34</v>
      </c>
      <c r="P41" s="14">
        <f t="shared" si="2"/>
        <v>295</v>
      </c>
    </row>
    <row r="42" spans="2:16" s="1" customFormat="1" ht="23" customHeight="1" x14ac:dyDescent="0.2">
      <c r="B42" s="11">
        <v>53</v>
      </c>
      <c r="C42" s="12" t="s">
        <v>21</v>
      </c>
      <c r="D42" s="53" t="s">
        <v>99</v>
      </c>
      <c r="E42" s="53"/>
      <c r="F42" s="53"/>
      <c r="G42" s="53"/>
      <c r="H42" s="53"/>
      <c r="I42" s="53"/>
      <c r="J42" s="53"/>
      <c r="K42" s="53"/>
      <c r="L42" s="12">
        <v>10</v>
      </c>
      <c r="M42" s="28" t="s">
        <v>34</v>
      </c>
      <c r="N42" s="13">
        <v>40</v>
      </c>
      <c r="O42" s="12" t="s">
        <v>34</v>
      </c>
      <c r="P42" s="14">
        <f t="shared" si="2"/>
        <v>400</v>
      </c>
    </row>
    <row r="43" spans="2:16" s="1" customFormat="1" ht="23" customHeight="1" x14ac:dyDescent="0.2">
      <c r="B43" s="11">
        <v>54</v>
      </c>
      <c r="C43" s="12" t="s">
        <v>21</v>
      </c>
      <c r="D43" s="53" t="s">
        <v>100</v>
      </c>
      <c r="E43" s="53"/>
      <c r="F43" s="53"/>
      <c r="G43" s="53"/>
      <c r="H43" s="53"/>
      <c r="I43" s="53"/>
      <c r="J43" s="53"/>
      <c r="K43" s="53"/>
      <c r="L43" s="12">
        <v>1000</v>
      </c>
      <c r="M43" s="28" t="s">
        <v>34</v>
      </c>
      <c r="N43" s="13">
        <v>0.5</v>
      </c>
      <c r="O43" s="12" t="s">
        <v>34</v>
      </c>
      <c r="P43" s="14">
        <f t="shared" si="2"/>
        <v>500</v>
      </c>
    </row>
    <row r="44" spans="2:16" s="1" customFormat="1" ht="23" customHeight="1" x14ac:dyDescent="0.2">
      <c r="B44" s="11">
        <v>55</v>
      </c>
      <c r="C44" s="12" t="s">
        <v>21</v>
      </c>
      <c r="D44" s="53" t="s">
        <v>101</v>
      </c>
      <c r="E44" s="53"/>
      <c r="F44" s="53"/>
      <c r="G44" s="53"/>
      <c r="H44" s="53"/>
      <c r="I44" s="53"/>
      <c r="J44" s="53"/>
      <c r="K44" s="53"/>
      <c r="L44" s="12">
        <v>2000</v>
      </c>
      <c r="M44" s="28" t="s">
        <v>34</v>
      </c>
      <c r="N44" s="13">
        <v>0.6</v>
      </c>
      <c r="O44" s="12" t="s">
        <v>34</v>
      </c>
      <c r="P44" s="14">
        <f t="shared" si="2"/>
        <v>1200</v>
      </c>
    </row>
    <row r="45" spans="2:16" s="1" customFormat="1" ht="23" customHeight="1" x14ac:dyDescent="0.2">
      <c r="B45" s="11">
        <v>56</v>
      </c>
      <c r="C45" s="12" t="s">
        <v>21</v>
      </c>
      <c r="D45" s="53" t="s">
        <v>102</v>
      </c>
      <c r="E45" s="53"/>
      <c r="F45" s="53"/>
      <c r="G45" s="53"/>
      <c r="H45" s="53"/>
      <c r="I45" s="53"/>
      <c r="J45" s="53"/>
      <c r="K45" s="53"/>
      <c r="L45" s="12">
        <v>500</v>
      </c>
      <c r="M45" s="28" t="s">
        <v>34</v>
      </c>
      <c r="N45" s="13">
        <v>0.3</v>
      </c>
      <c r="O45" s="12" t="s">
        <v>34</v>
      </c>
      <c r="P45" s="14">
        <f t="shared" si="2"/>
        <v>150</v>
      </c>
    </row>
    <row r="46" spans="2:16" s="1" customFormat="1" ht="23" customHeight="1" x14ac:dyDescent="0.2">
      <c r="B46" s="11">
        <v>57</v>
      </c>
      <c r="C46" s="12" t="s">
        <v>21</v>
      </c>
      <c r="D46" s="53" t="s">
        <v>103</v>
      </c>
      <c r="E46" s="53"/>
      <c r="F46" s="53"/>
      <c r="G46" s="53"/>
      <c r="H46" s="53"/>
      <c r="I46" s="53"/>
      <c r="J46" s="53"/>
      <c r="K46" s="53"/>
      <c r="L46" s="12">
        <v>500</v>
      </c>
      <c r="M46" s="28" t="s">
        <v>34</v>
      </c>
      <c r="N46" s="13">
        <v>7.2</v>
      </c>
      <c r="O46" s="12" t="s">
        <v>34</v>
      </c>
      <c r="P46" s="14">
        <f t="shared" si="2"/>
        <v>3600</v>
      </c>
    </row>
    <row r="47" spans="2:16" s="1" customFormat="1" ht="23" customHeight="1" x14ac:dyDescent="0.2">
      <c r="B47" s="11">
        <v>58</v>
      </c>
      <c r="C47" s="12" t="s">
        <v>21</v>
      </c>
      <c r="D47" s="53" t="s">
        <v>104</v>
      </c>
      <c r="E47" s="53"/>
      <c r="F47" s="53"/>
      <c r="G47" s="53"/>
      <c r="H47" s="53"/>
      <c r="I47" s="53"/>
      <c r="J47" s="53"/>
      <c r="K47" s="53"/>
      <c r="L47" s="12">
        <v>500</v>
      </c>
      <c r="M47" s="28" t="s">
        <v>34</v>
      </c>
      <c r="N47" s="13">
        <v>10</v>
      </c>
      <c r="O47" s="12" t="s">
        <v>34</v>
      </c>
      <c r="P47" s="14">
        <f t="shared" si="2"/>
        <v>5000</v>
      </c>
    </row>
    <row r="48" spans="2:16" s="1" customFormat="1" ht="23" customHeight="1" x14ac:dyDescent="0.2">
      <c r="B48" s="11">
        <v>59</v>
      </c>
      <c r="C48" s="12" t="s">
        <v>21</v>
      </c>
      <c r="D48" s="53" t="s">
        <v>105</v>
      </c>
      <c r="E48" s="53"/>
      <c r="F48" s="53"/>
      <c r="G48" s="53"/>
      <c r="H48" s="53"/>
      <c r="I48" s="53"/>
      <c r="J48" s="53"/>
      <c r="K48" s="53"/>
      <c r="L48" s="12">
        <v>20</v>
      </c>
      <c r="M48" s="28" t="s">
        <v>34</v>
      </c>
      <c r="N48" s="13">
        <v>31.21</v>
      </c>
      <c r="O48" s="12" t="s">
        <v>34</v>
      </c>
      <c r="P48" s="14">
        <f t="shared" si="2"/>
        <v>624.20000000000005</v>
      </c>
    </row>
    <row r="49" spans="2:16" s="1" customFormat="1" ht="23" customHeight="1" x14ac:dyDescent="0.2">
      <c r="B49" s="11">
        <v>60</v>
      </c>
      <c r="C49" s="12" t="s">
        <v>21</v>
      </c>
      <c r="D49" s="53" t="s">
        <v>106</v>
      </c>
      <c r="E49" s="53"/>
      <c r="F49" s="53"/>
      <c r="G49" s="53"/>
      <c r="H49" s="53"/>
      <c r="I49" s="53"/>
      <c r="J49" s="53"/>
      <c r="K49" s="53"/>
      <c r="L49" s="12">
        <v>21</v>
      </c>
      <c r="M49" s="28" t="s">
        <v>34</v>
      </c>
      <c r="N49" s="13">
        <v>43.8</v>
      </c>
      <c r="O49" s="12" t="s">
        <v>34</v>
      </c>
      <c r="P49" s="14">
        <f t="shared" ref="P49:P56" si="3">N49*L49</f>
        <v>919.8</v>
      </c>
    </row>
    <row r="50" spans="2:16" s="1" customFormat="1" ht="23" customHeight="1" x14ac:dyDescent="0.2">
      <c r="B50" s="11">
        <v>61</v>
      </c>
      <c r="C50" s="12" t="s">
        <v>21</v>
      </c>
      <c r="D50" s="53" t="s">
        <v>107</v>
      </c>
      <c r="E50" s="53"/>
      <c r="F50" s="53"/>
      <c r="G50" s="53"/>
      <c r="H50" s="53"/>
      <c r="I50" s="53"/>
      <c r="J50" s="53"/>
      <c r="K50" s="53"/>
      <c r="L50" s="12">
        <v>1000</v>
      </c>
      <c r="M50" s="28" t="s">
        <v>34</v>
      </c>
      <c r="N50" s="13">
        <v>8</v>
      </c>
      <c r="O50" s="12" t="s">
        <v>34</v>
      </c>
      <c r="P50" s="14">
        <f t="shared" si="3"/>
        <v>8000</v>
      </c>
    </row>
    <row r="51" spans="2:16" s="1" customFormat="1" ht="23" customHeight="1" x14ac:dyDescent="0.2">
      <c r="B51" s="11">
        <v>62</v>
      </c>
      <c r="C51" s="12" t="s">
        <v>21</v>
      </c>
      <c r="D51" s="53" t="s">
        <v>108</v>
      </c>
      <c r="E51" s="53"/>
      <c r="F51" s="53"/>
      <c r="G51" s="53"/>
      <c r="H51" s="53"/>
      <c r="I51" s="53"/>
      <c r="J51" s="53"/>
      <c r="K51" s="53"/>
      <c r="L51" s="12">
        <v>1000</v>
      </c>
      <c r="M51" s="28" t="s">
        <v>34</v>
      </c>
      <c r="N51" s="13">
        <v>1.2</v>
      </c>
      <c r="O51" s="12" t="s">
        <v>34</v>
      </c>
      <c r="P51" s="14">
        <f t="shared" si="3"/>
        <v>1200</v>
      </c>
    </row>
    <row r="52" spans="2:16" s="1" customFormat="1" ht="23" customHeight="1" x14ac:dyDescent="0.2">
      <c r="B52" s="11">
        <v>63</v>
      </c>
      <c r="C52" s="12" t="s">
        <v>21</v>
      </c>
      <c r="D52" s="53" t="s">
        <v>109</v>
      </c>
      <c r="E52" s="53"/>
      <c r="F52" s="53"/>
      <c r="G52" s="53"/>
      <c r="H52" s="53"/>
      <c r="I52" s="53"/>
      <c r="J52" s="53"/>
      <c r="K52" s="53"/>
      <c r="L52" s="12">
        <v>450</v>
      </c>
      <c r="M52" s="28" t="s">
        <v>34</v>
      </c>
      <c r="N52" s="13">
        <v>3.75555555555556</v>
      </c>
      <c r="O52" s="12" t="s">
        <v>34</v>
      </c>
      <c r="P52" s="14">
        <f t="shared" si="3"/>
        <v>1690.000000000002</v>
      </c>
    </row>
    <row r="53" spans="2:16" s="1" customFormat="1" ht="23" customHeight="1" x14ac:dyDescent="0.2">
      <c r="B53" s="11">
        <v>64</v>
      </c>
      <c r="C53" s="12" t="s">
        <v>21</v>
      </c>
      <c r="D53" s="53" t="s">
        <v>110</v>
      </c>
      <c r="E53" s="53"/>
      <c r="F53" s="53"/>
      <c r="G53" s="53"/>
      <c r="H53" s="53"/>
      <c r="I53" s="53"/>
      <c r="J53" s="53"/>
      <c r="K53" s="53"/>
      <c r="L53" s="12">
        <v>50</v>
      </c>
      <c r="M53" s="28" t="s">
        <v>34</v>
      </c>
      <c r="N53" s="13">
        <v>1.8</v>
      </c>
      <c r="O53" s="12" t="s">
        <v>34</v>
      </c>
      <c r="P53" s="14">
        <f t="shared" si="3"/>
        <v>90</v>
      </c>
    </row>
    <row r="54" spans="2:16" s="1" customFormat="1" ht="23" customHeight="1" x14ac:dyDescent="0.2">
      <c r="B54" s="11">
        <v>65</v>
      </c>
      <c r="C54" s="12" t="s">
        <v>21</v>
      </c>
      <c r="D54" s="53" t="s">
        <v>111</v>
      </c>
      <c r="E54" s="53"/>
      <c r="F54" s="53"/>
      <c r="G54" s="53"/>
      <c r="H54" s="53"/>
      <c r="I54" s="53"/>
      <c r="J54" s="53"/>
      <c r="K54" s="53"/>
      <c r="L54" s="12">
        <v>100</v>
      </c>
      <c r="M54" s="28" t="s">
        <v>34</v>
      </c>
      <c r="N54" s="13">
        <v>1.5</v>
      </c>
      <c r="O54" s="12" t="s">
        <v>34</v>
      </c>
      <c r="P54" s="14">
        <f t="shared" si="3"/>
        <v>150</v>
      </c>
    </row>
    <row r="55" spans="2:16" s="1" customFormat="1" ht="23" customHeight="1" x14ac:dyDescent="0.2">
      <c r="B55" s="11">
        <v>66</v>
      </c>
      <c r="C55" s="12" t="s">
        <v>21</v>
      </c>
      <c r="D55" s="53" t="s">
        <v>112</v>
      </c>
      <c r="E55" s="53"/>
      <c r="F55" s="53"/>
      <c r="G55" s="53"/>
      <c r="H55" s="53"/>
      <c r="I55" s="53"/>
      <c r="J55" s="53"/>
      <c r="K55" s="53"/>
      <c r="L55" s="12">
        <v>20</v>
      </c>
      <c r="M55" s="28" t="s">
        <v>34</v>
      </c>
      <c r="N55" s="13">
        <v>3.5</v>
      </c>
      <c r="O55" s="12" t="s">
        <v>34</v>
      </c>
      <c r="P55" s="14">
        <f t="shared" si="3"/>
        <v>70</v>
      </c>
    </row>
    <row r="56" spans="2:16" s="1" customFormat="1" ht="23" customHeight="1" x14ac:dyDescent="0.2">
      <c r="B56" s="11">
        <v>67</v>
      </c>
      <c r="C56" s="12" t="s">
        <v>21</v>
      </c>
      <c r="D56" s="53" t="s">
        <v>113</v>
      </c>
      <c r="E56" s="53"/>
      <c r="F56" s="53"/>
      <c r="G56" s="53"/>
      <c r="H56" s="53"/>
      <c r="I56" s="53"/>
      <c r="J56" s="53"/>
      <c r="K56" s="53"/>
      <c r="L56" s="12">
        <v>30</v>
      </c>
      <c r="M56" s="28" t="s">
        <v>34</v>
      </c>
      <c r="N56" s="13">
        <v>13.6</v>
      </c>
      <c r="O56" s="12" t="s">
        <v>34</v>
      </c>
      <c r="P56" s="14">
        <f t="shared" si="3"/>
        <v>408</v>
      </c>
    </row>
    <row r="57" spans="2:16" s="1" customFormat="1" ht="23" customHeight="1" x14ac:dyDescent="0.2">
      <c r="B57" s="11">
        <v>68</v>
      </c>
      <c r="C57" s="12" t="s">
        <v>21</v>
      </c>
      <c r="D57" s="53" t="s">
        <v>114</v>
      </c>
      <c r="E57" s="53"/>
      <c r="F57" s="53"/>
      <c r="G57" s="53"/>
      <c r="H57" s="53"/>
      <c r="I57" s="53"/>
      <c r="J57" s="53"/>
      <c r="K57" s="53"/>
      <c r="L57" s="12">
        <v>50</v>
      </c>
      <c r="M57" s="28" t="s">
        <v>34</v>
      </c>
      <c r="N57" s="13">
        <v>3</v>
      </c>
      <c r="O57" s="12" t="s">
        <v>34</v>
      </c>
      <c r="P57" s="14">
        <f t="shared" si="2"/>
        <v>150</v>
      </c>
    </row>
    <row r="58" spans="2:16" s="1" customFormat="1" ht="23" customHeight="1" x14ac:dyDescent="0.2">
      <c r="B58" s="11">
        <v>69</v>
      </c>
      <c r="C58" s="12" t="s">
        <v>21</v>
      </c>
      <c r="D58" s="53" t="s">
        <v>115</v>
      </c>
      <c r="E58" s="53"/>
      <c r="F58" s="53"/>
      <c r="G58" s="53"/>
      <c r="H58" s="53"/>
      <c r="I58" s="53"/>
      <c r="J58" s="53"/>
      <c r="K58" s="53"/>
      <c r="L58" s="12">
        <v>100</v>
      </c>
      <c r="M58" s="28" t="s">
        <v>34</v>
      </c>
      <c r="N58" s="13">
        <v>0.4</v>
      </c>
      <c r="O58" s="12" t="s">
        <v>34</v>
      </c>
      <c r="P58" s="14">
        <f t="shared" si="2"/>
        <v>40</v>
      </c>
    </row>
    <row r="59" spans="2:16" s="1" customFormat="1" ht="23" customHeight="1" x14ac:dyDescent="0.2">
      <c r="B59" s="11">
        <v>70</v>
      </c>
      <c r="C59" s="12" t="s">
        <v>21</v>
      </c>
      <c r="D59" s="53" t="s">
        <v>116</v>
      </c>
      <c r="E59" s="53"/>
      <c r="F59" s="53"/>
      <c r="G59" s="53"/>
      <c r="H59" s="53"/>
      <c r="I59" s="53"/>
      <c r="J59" s="53"/>
      <c r="K59" s="53"/>
      <c r="L59" s="12">
        <v>10</v>
      </c>
      <c r="M59" s="28" t="s">
        <v>34</v>
      </c>
      <c r="N59" s="13">
        <v>4</v>
      </c>
      <c r="O59" s="12" t="s">
        <v>34</v>
      </c>
      <c r="P59" s="14">
        <f t="shared" si="2"/>
        <v>40</v>
      </c>
    </row>
    <row r="60" spans="2:16" s="1" customFormat="1" ht="23" customHeight="1" x14ac:dyDescent="0.2">
      <c r="B60" s="11">
        <v>71</v>
      </c>
      <c r="C60" s="12" t="s">
        <v>21</v>
      </c>
      <c r="D60" s="53" t="s">
        <v>117</v>
      </c>
      <c r="E60" s="53"/>
      <c r="F60" s="53"/>
      <c r="G60" s="53"/>
      <c r="H60" s="53"/>
      <c r="I60" s="53"/>
      <c r="J60" s="53"/>
      <c r="K60" s="53"/>
      <c r="L60" s="12">
        <v>5</v>
      </c>
      <c r="M60" s="28" t="s">
        <v>34</v>
      </c>
      <c r="N60" s="13">
        <v>5</v>
      </c>
      <c r="O60" s="12" t="s">
        <v>34</v>
      </c>
      <c r="P60" s="14">
        <f t="shared" si="2"/>
        <v>25</v>
      </c>
    </row>
    <row r="61" spans="2:16" s="1" customFormat="1" ht="23" customHeight="1" x14ac:dyDescent="0.2">
      <c r="B61" s="11">
        <v>72</v>
      </c>
      <c r="C61" s="12" t="s">
        <v>21</v>
      </c>
      <c r="D61" s="53" t="s">
        <v>118</v>
      </c>
      <c r="E61" s="53"/>
      <c r="F61" s="53"/>
      <c r="G61" s="53"/>
      <c r="H61" s="53"/>
      <c r="I61" s="53"/>
      <c r="J61" s="53"/>
      <c r="K61" s="53"/>
      <c r="L61" s="12">
        <v>10</v>
      </c>
      <c r="M61" s="28" t="s">
        <v>34</v>
      </c>
      <c r="N61" s="13">
        <v>4.5</v>
      </c>
      <c r="O61" s="12" t="s">
        <v>34</v>
      </c>
      <c r="P61" s="14">
        <f t="shared" si="2"/>
        <v>45</v>
      </c>
    </row>
    <row r="62" spans="2:16" s="1" customFormat="1" ht="23" customHeight="1" x14ac:dyDescent="0.2">
      <c r="B62" s="11">
        <v>73</v>
      </c>
      <c r="C62" s="12" t="s">
        <v>21</v>
      </c>
      <c r="D62" s="53" t="s">
        <v>119</v>
      </c>
      <c r="E62" s="53"/>
      <c r="F62" s="53"/>
      <c r="G62" s="53"/>
      <c r="H62" s="53"/>
      <c r="I62" s="53"/>
      <c r="J62" s="53"/>
      <c r="K62" s="53"/>
      <c r="L62" s="12">
        <v>12</v>
      </c>
      <c r="M62" s="28" t="s">
        <v>34</v>
      </c>
      <c r="N62" s="13">
        <v>1</v>
      </c>
      <c r="O62" s="12" t="s">
        <v>34</v>
      </c>
      <c r="P62" s="14">
        <f t="shared" si="0"/>
        <v>12</v>
      </c>
    </row>
    <row r="63" spans="2:16" s="1" customFormat="1" ht="23" customHeight="1" x14ac:dyDescent="0.2">
      <c r="B63" s="11">
        <v>74</v>
      </c>
      <c r="C63" s="12" t="s">
        <v>21</v>
      </c>
      <c r="D63" s="53" t="s">
        <v>120</v>
      </c>
      <c r="E63" s="53"/>
      <c r="F63" s="53"/>
      <c r="G63" s="53"/>
      <c r="H63" s="53"/>
      <c r="I63" s="53"/>
      <c r="J63" s="53"/>
      <c r="K63" s="53"/>
      <c r="L63" s="12">
        <v>20</v>
      </c>
      <c r="M63" s="28" t="s">
        <v>34</v>
      </c>
      <c r="N63" s="13">
        <v>3.5</v>
      </c>
      <c r="O63" s="12" t="s">
        <v>34</v>
      </c>
      <c r="P63" s="14">
        <f t="shared" ref="P63:P67" si="4">N63*L63</f>
        <v>70</v>
      </c>
    </row>
    <row r="64" spans="2:16" s="1" customFormat="1" ht="23" customHeight="1" x14ac:dyDescent="0.2">
      <c r="B64" s="11">
        <v>75</v>
      </c>
      <c r="C64" s="12" t="s">
        <v>21</v>
      </c>
      <c r="D64" s="53" t="s">
        <v>121</v>
      </c>
      <c r="E64" s="53"/>
      <c r="F64" s="53"/>
      <c r="G64" s="53"/>
      <c r="H64" s="53"/>
      <c r="I64" s="53"/>
      <c r="J64" s="53"/>
      <c r="K64" s="53"/>
      <c r="L64" s="12">
        <v>13</v>
      </c>
      <c r="M64" s="28" t="s">
        <v>34</v>
      </c>
      <c r="N64" s="13">
        <v>19.076923076923102</v>
      </c>
      <c r="O64" s="12" t="s">
        <v>34</v>
      </c>
      <c r="P64" s="14">
        <f t="shared" si="4"/>
        <v>248.00000000000031</v>
      </c>
    </row>
    <row r="65" spans="2:17" s="1" customFormat="1" ht="23" customHeight="1" x14ac:dyDescent="0.2">
      <c r="B65" s="11">
        <v>76</v>
      </c>
      <c r="C65" s="12" t="s">
        <v>21</v>
      </c>
      <c r="D65" s="53" t="s">
        <v>122</v>
      </c>
      <c r="E65" s="53"/>
      <c r="F65" s="53"/>
      <c r="G65" s="53"/>
      <c r="H65" s="53"/>
      <c r="I65" s="53"/>
      <c r="J65" s="53"/>
      <c r="K65" s="53"/>
      <c r="L65" s="12">
        <v>120</v>
      </c>
      <c r="M65" s="28" t="s">
        <v>34</v>
      </c>
      <c r="N65" s="13">
        <v>3.4</v>
      </c>
      <c r="O65" s="12" t="s">
        <v>34</v>
      </c>
      <c r="P65" s="14">
        <f t="shared" si="4"/>
        <v>408</v>
      </c>
    </row>
    <row r="66" spans="2:17" s="1" customFormat="1" ht="23" customHeight="1" x14ac:dyDescent="0.2">
      <c r="B66" s="11">
        <v>77</v>
      </c>
      <c r="C66" s="12" t="s">
        <v>21</v>
      </c>
      <c r="D66" s="53" t="s">
        <v>123</v>
      </c>
      <c r="E66" s="53"/>
      <c r="F66" s="53"/>
      <c r="G66" s="53"/>
      <c r="H66" s="53"/>
      <c r="I66" s="53"/>
      <c r="J66" s="53"/>
      <c r="K66" s="53"/>
      <c r="L66" s="12">
        <v>5</v>
      </c>
      <c r="M66" s="28" t="s">
        <v>34</v>
      </c>
      <c r="N66" s="13">
        <v>12.8</v>
      </c>
      <c r="O66" s="12" t="s">
        <v>34</v>
      </c>
      <c r="P66" s="14">
        <f t="shared" si="4"/>
        <v>64</v>
      </c>
    </row>
    <row r="67" spans="2:17" s="1" customFormat="1" ht="23" customHeight="1" x14ac:dyDescent="0.2">
      <c r="B67" s="11">
        <v>78</v>
      </c>
      <c r="C67" s="12" t="s">
        <v>21</v>
      </c>
      <c r="D67" s="53" t="s">
        <v>124</v>
      </c>
      <c r="E67" s="53"/>
      <c r="F67" s="53"/>
      <c r="G67" s="53"/>
      <c r="H67" s="53"/>
      <c r="I67" s="53"/>
      <c r="J67" s="53"/>
      <c r="K67" s="53"/>
      <c r="L67" s="12">
        <v>150</v>
      </c>
      <c r="M67" s="28" t="s">
        <v>34</v>
      </c>
      <c r="N67" s="13">
        <v>6.51</v>
      </c>
      <c r="O67" s="12" t="s">
        <v>34</v>
      </c>
      <c r="P67" s="14">
        <f t="shared" si="4"/>
        <v>976.5</v>
      </c>
    </row>
    <row r="68" spans="2:17" s="1" customFormat="1" ht="21" customHeight="1" thickBot="1" x14ac:dyDescent="0.25">
      <c r="B68" s="43" t="s">
        <v>22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5"/>
      <c r="P68" s="15">
        <f>SUM(P26:P67)</f>
        <v>36385</v>
      </c>
    </row>
    <row r="69" spans="2:17" s="1" customFormat="1" x14ac:dyDescent="0.2"/>
    <row r="70" spans="2:17" s="20" customFormat="1" ht="18" x14ac:dyDescent="0.2">
      <c r="B70" s="16" t="s">
        <v>27</v>
      </c>
      <c r="C70" s="16"/>
      <c r="D70" s="16"/>
      <c r="E70" s="16"/>
      <c r="F70" s="17"/>
      <c r="G70" s="17"/>
      <c r="H70" s="18"/>
      <c r="I70" s="19"/>
      <c r="Q70" s="1"/>
    </row>
    <row r="71" spans="2:17" s="20" customFormat="1" ht="18" x14ac:dyDescent="0.2">
      <c r="B71" s="21" t="s">
        <v>28</v>
      </c>
      <c r="C71" s="16"/>
      <c r="D71" s="16"/>
      <c r="E71" s="16"/>
      <c r="F71" s="17"/>
      <c r="G71" s="22"/>
      <c r="H71" s="16"/>
      <c r="I71" s="16"/>
      <c r="Q71" s="1"/>
    </row>
    <row r="72" spans="2:17" s="20" customFormat="1" ht="18" x14ac:dyDescent="0.2">
      <c r="B72" s="16"/>
      <c r="C72" s="16"/>
      <c r="D72" s="16"/>
      <c r="E72" s="16"/>
      <c r="F72" s="17"/>
      <c r="G72" s="22"/>
      <c r="H72" s="16"/>
      <c r="I72" s="16"/>
      <c r="Q72" s="1"/>
    </row>
    <row r="73" spans="2:17" s="1" customFormat="1" ht="18" x14ac:dyDescent="0.2">
      <c r="B73" s="16" t="s">
        <v>29</v>
      </c>
      <c r="C73" s="16"/>
      <c r="D73" s="16"/>
      <c r="E73" s="18"/>
      <c r="F73" s="24"/>
      <c r="G73" s="25"/>
      <c r="H73" s="16"/>
      <c r="I73" s="16"/>
      <c r="J73" s="20"/>
      <c r="K73" s="20"/>
      <c r="L73" s="20"/>
      <c r="M73" s="20"/>
      <c r="N73" s="20"/>
      <c r="O73" s="20"/>
      <c r="P73" s="20"/>
    </row>
    <row r="74" spans="2:17" s="1" customFormat="1" ht="18" x14ac:dyDescent="0.2">
      <c r="B74" s="29" t="s">
        <v>30</v>
      </c>
      <c r="C74" s="30" t="s">
        <v>37</v>
      </c>
      <c r="D74" s="30"/>
      <c r="E74" s="30"/>
      <c r="F74" s="31"/>
      <c r="G74" s="22"/>
      <c r="H74" s="16"/>
      <c r="I74" s="16"/>
      <c r="J74" s="20"/>
      <c r="K74" s="20"/>
      <c r="L74" s="20"/>
      <c r="M74" s="20"/>
      <c r="N74" s="20"/>
      <c r="O74" s="20"/>
      <c r="P74" s="20"/>
    </row>
    <row r="75" spans="2:17" s="1" customFormat="1" ht="18" x14ac:dyDescent="0.2">
      <c r="B75" s="18"/>
      <c r="C75" s="30" t="s">
        <v>38</v>
      </c>
      <c r="D75" s="30"/>
      <c r="E75" s="30"/>
      <c r="F75" s="31"/>
      <c r="G75" s="22"/>
      <c r="H75" s="16"/>
      <c r="I75" s="16"/>
      <c r="J75" s="20"/>
      <c r="K75" s="20"/>
      <c r="L75" s="20"/>
      <c r="M75" s="20"/>
      <c r="N75" s="20"/>
      <c r="O75" s="20"/>
      <c r="P75" s="20"/>
    </row>
    <row r="76" spans="2:17" s="1" customFormat="1" ht="18" x14ac:dyDescent="0.2">
      <c r="B76" s="18"/>
      <c r="C76" s="16"/>
      <c r="D76" s="16"/>
      <c r="E76" s="16"/>
      <c r="F76" s="32"/>
      <c r="G76" s="22"/>
      <c r="H76" s="18"/>
      <c r="I76" s="18"/>
      <c r="J76" s="20"/>
      <c r="K76" s="20"/>
      <c r="L76" s="20"/>
      <c r="M76" s="20"/>
      <c r="N76" s="20"/>
      <c r="O76" s="20"/>
      <c r="P76" s="20"/>
    </row>
    <row r="77" spans="2:17" s="1" customFormat="1" ht="18" x14ac:dyDescent="0.2">
      <c r="B77" s="29" t="s">
        <v>30</v>
      </c>
      <c r="C77" s="30" t="s">
        <v>39</v>
      </c>
      <c r="D77" s="30"/>
      <c r="E77" s="30"/>
      <c r="F77" s="32"/>
      <c r="G77" s="22"/>
      <c r="H77" s="18"/>
      <c r="I77" s="18"/>
      <c r="J77" s="20"/>
      <c r="K77" s="20"/>
      <c r="L77" s="20"/>
      <c r="M77" s="20"/>
      <c r="N77" s="20"/>
      <c r="O77" s="20"/>
      <c r="P77" s="20"/>
    </row>
    <row r="78" spans="2:17" s="1" customFormat="1" ht="18" x14ac:dyDescent="0.2">
      <c r="B78" s="18"/>
      <c r="C78" s="30" t="s">
        <v>40</v>
      </c>
      <c r="D78" s="30"/>
      <c r="E78" s="30"/>
      <c r="F78" s="32"/>
      <c r="G78" s="22"/>
      <c r="H78" s="18"/>
      <c r="I78" s="18"/>
      <c r="J78" s="20"/>
      <c r="K78" s="20"/>
      <c r="L78" s="20"/>
      <c r="M78" s="20"/>
      <c r="N78" s="20"/>
      <c r="O78" s="20"/>
      <c r="P78" s="20"/>
    </row>
    <row r="79" spans="2:17" s="1" customFormat="1" ht="18" x14ac:dyDescent="0.2">
      <c r="B79" s="18"/>
      <c r="C79" s="30" t="s">
        <v>31</v>
      </c>
      <c r="D79" s="30"/>
      <c r="E79" s="30"/>
      <c r="F79" s="32"/>
      <c r="G79" s="22"/>
      <c r="H79" s="18"/>
      <c r="I79" s="18"/>
      <c r="J79" s="20"/>
      <c r="K79" s="20"/>
      <c r="L79" s="20"/>
      <c r="M79" s="20"/>
      <c r="N79" s="20"/>
      <c r="O79" s="20"/>
      <c r="P79" s="20"/>
    </row>
    <row r="80" spans="2:17" s="1" customFormat="1" ht="18" x14ac:dyDescent="0.2">
      <c r="B80" s="16"/>
      <c r="C80" s="30" t="s">
        <v>32</v>
      </c>
      <c r="D80" s="16"/>
      <c r="E80" s="16"/>
      <c r="F80" s="32"/>
      <c r="G80" s="22"/>
      <c r="H80" s="18"/>
      <c r="I80" s="18"/>
      <c r="J80" s="20"/>
      <c r="K80" s="20"/>
      <c r="L80" s="20"/>
      <c r="M80" s="20"/>
      <c r="N80" s="20"/>
      <c r="O80" s="20"/>
      <c r="P80" s="20"/>
    </row>
    <row r="81" spans="2:16" s="1" customFormat="1" ht="18" x14ac:dyDescent="0.2">
      <c r="B81" s="16"/>
      <c r="C81" s="30" t="s">
        <v>33</v>
      </c>
      <c r="D81" s="16"/>
      <c r="E81" s="16"/>
      <c r="F81" s="32"/>
      <c r="G81" s="22"/>
      <c r="H81" s="18"/>
      <c r="I81" s="18"/>
      <c r="J81" s="20"/>
      <c r="K81" s="20"/>
      <c r="L81" s="20"/>
      <c r="M81" s="20"/>
      <c r="N81" s="20"/>
      <c r="O81" s="20"/>
      <c r="P81" s="20"/>
    </row>
    <row r="82" spans="2:16" s="1" customFormat="1" ht="18" x14ac:dyDescent="0.2">
      <c r="B82" s="16"/>
      <c r="C82" s="16"/>
      <c r="D82" s="16"/>
      <c r="E82" s="16"/>
      <c r="F82" s="32"/>
      <c r="G82" s="22"/>
      <c r="H82" s="18"/>
      <c r="I82" s="18"/>
      <c r="J82" s="20"/>
      <c r="K82" s="20"/>
      <c r="L82" s="20"/>
      <c r="M82" s="20"/>
      <c r="N82" s="20"/>
      <c r="O82" s="20"/>
      <c r="P82" s="20"/>
    </row>
    <row r="83" spans="2:16" s="1" customFormat="1" ht="18" x14ac:dyDescent="0.2">
      <c r="B83" s="33" t="s">
        <v>30</v>
      </c>
      <c r="C83" s="16" t="s">
        <v>41</v>
      </c>
      <c r="D83" s="16"/>
      <c r="E83" s="16"/>
      <c r="F83" s="32"/>
      <c r="G83" s="22"/>
      <c r="H83" s="18"/>
      <c r="I83" s="18"/>
      <c r="J83" s="20"/>
      <c r="K83" s="20"/>
      <c r="L83" s="20"/>
      <c r="M83" s="20"/>
      <c r="N83" s="20"/>
      <c r="O83" s="20"/>
      <c r="P83" s="20"/>
    </row>
    <row r="84" spans="2:16" s="1" customFormat="1" ht="18" x14ac:dyDescent="0.2">
      <c r="B84" s="26"/>
      <c r="C84" s="30" t="s">
        <v>42</v>
      </c>
      <c r="D84" s="30"/>
      <c r="E84" s="34"/>
      <c r="F84" s="35"/>
      <c r="G84" s="27"/>
      <c r="H84" s="26"/>
      <c r="I84" s="18"/>
      <c r="J84" s="20"/>
      <c r="K84" s="20"/>
      <c r="L84" s="20"/>
      <c r="M84" s="20"/>
      <c r="N84" s="20"/>
      <c r="O84" s="20"/>
      <c r="P84" s="20"/>
    </row>
    <row r="85" spans="2:16" s="1" customFormat="1" ht="18" x14ac:dyDescent="0.2">
      <c r="B85" s="18"/>
      <c r="C85" s="16" t="s">
        <v>43</v>
      </c>
      <c r="D85" s="16"/>
      <c r="E85" s="36"/>
      <c r="F85" s="32"/>
      <c r="G85" s="22"/>
      <c r="H85" s="18"/>
      <c r="I85" s="26"/>
      <c r="J85" s="20"/>
      <c r="K85" s="20"/>
      <c r="L85" s="20"/>
      <c r="M85" s="20"/>
      <c r="N85" s="20"/>
      <c r="O85" s="20"/>
      <c r="P85" s="20"/>
    </row>
    <row r="86" spans="2:16" s="1" customFormat="1" x14ac:dyDescent="0.2"/>
    <row r="87" spans="2:16" s="1" customFormat="1" x14ac:dyDescent="0.2"/>
    <row r="88" spans="2:16" s="1" customFormat="1" x14ac:dyDescent="0.2"/>
    <row r="89" spans="2:16" s="1" customFormat="1" x14ac:dyDescent="0.2"/>
    <row r="90" spans="2:16" s="1" customFormat="1" x14ac:dyDescent="0.2"/>
    <row r="91" spans="2:16" s="1" customFormat="1" x14ac:dyDescent="0.2"/>
    <row r="92" spans="2:16" s="1" customFormat="1" x14ac:dyDescent="0.2"/>
    <row r="93" spans="2:16" s="1" customFormat="1" x14ac:dyDescent="0.2"/>
    <row r="94" spans="2:16" s="1" customFormat="1" x14ac:dyDescent="0.2"/>
    <row r="95" spans="2:16" s="1" customFormat="1" x14ac:dyDescent="0.2"/>
    <row r="96" spans="2:1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  <row r="167" s="1" customFormat="1" x14ac:dyDescent="0.2"/>
    <row r="168" s="1" customFormat="1" x14ac:dyDescent="0.2"/>
    <row r="169" s="1" customFormat="1" x14ac:dyDescent="0.2"/>
    <row r="170" s="1" customFormat="1" x14ac:dyDescent="0.2"/>
    <row r="171" s="1" customFormat="1" x14ac:dyDescent="0.2"/>
    <row r="172" s="1" customFormat="1" x14ac:dyDescent="0.2"/>
    <row r="173" s="1" customFormat="1" x14ac:dyDescent="0.2"/>
    <row r="174" s="1" customFormat="1" x14ac:dyDescent="0.2"/>
    <row r="175" s="1" customFormat="1" x14ac:dyDescent="0.2"/>
    <row r="176" s="1" customFormat="1" x14ac:dyDescent="0.2"/>
    <row r="177" s="1" customFormat="1" x14ac:dyDescent="0.2"/>
    <row r="178" s="1" customFormat="1" x14ac:dyDescent="0.2"/>
    <row r="179" s="1" customFormat="1" x14ac:dyDescent="0.2"/>
    <row r="180" s="1" customFormat="1" x14ac:dyDescent="0.2"/>
    <row r="181" s="1" customFormat="1" x14ac:dyDescent="0.2"/>
    <row r="182" s="1" customFormat="1" x14ac:dyDescent="0.2"/>
    <row r="183" s="1" customFormat="1" x14ac:dyDescent="0.2"/>
    <row r="184" s="1" customFormat="1" x14ac:dyDescent="0.2"/>
    <row r="185" s="1" customFormat="1" x14ac:dyDescent="0.2"/>
    <row r="186" s="1" customFormat="1" x14ac:dyDescent="0.2"/>
    <row r="187" s="1" customFormat="1" x14ac:dyDescent="0.2"/>
    <row r="188" s="1" customFormat="1" x14ac:dyDescent="0.2"/>
    <row r="189" s="1" customFormat="1" x14ac:dyDescent="0.2"/>
    <row r="190" s="1" customFormat="1" x14ac:dyDescent="0.2"/>
    <row r="191" s="1" customFormat="1" x14ac:dyDescent="0.2"/>
    <row r="192" s="1" customFormat="1" x14ac:dyDescent="0.2"/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  <row r="205" s="1" customFormat="1" x14ac:dyDescent="0.2"/>
    <row r="206" s="1" customFormat="1" x14ac:dyDescent="0.2"/>
    <row r="207" s="1" customFormat="1" x14ac:dyDescent="0.2"/>
    <row r="208" s="1" customFormat="1" x14ac:dyDescent="0.2"/>
    <row r="209" s="1" customFormat="1" x14ac:dyDescent="0.2"/>
    <row r="210" s="1" customFormat="1" x14ac:dyDescent="0.2"/>
    <row r="211" s="1" customFormat="1" x14ac:dyDescent="0.2"/>
    <row r="212" s="1" customFormat="1" x14ac:dyDescent="0.2"/>
    <row r="213" s="1" customFormat="1" x14ac:dyDescent="0.2"/>
    <row r="214" s="1" customFormat="1" x14ac:dyDescent="0.2"/>
    <row r="215" s="1" customFormat="1" x14ac:dyDescent="0.2"/>
    <row r="216" s="1" customFormat="1" x14ac:dyDescent="0.2"/>
    <row r="217" s="1" customFormat="1" x14ac:dyDescent="0.2"/>
    <row r="218" s="1" customFormat="1" x14ac:dyDescent="0.2"/>
    <row r="219" s="1" customFormat="1" x14ac:dyDescent="0.2"/>
    <row r="220" s="1" customFormat="1" x14ac:dyDescent="0.2"/>
    <row r="221" s="1" customFormat="1" x14ac:dyDescent="0.2"/>
    <row r="222" s="1" customFormat="1" x14ac:dyDescent="0.2"/>
    <row r="223" s="1" customFormat="1" x14ac:dyDescent="0.2"/>
    <row r="224" s="1" customFormat="1" x14ac:dyDescent="0.2"/>
    <row r="225" s="1" customFormat="1" x14ac:dyDescent="0.2"/>
    <row r="226" s="1" customFormat="1" x14ac:dyDescent="0.2"/>
    <row r="227" s="1" customFormat="1" x14ac:dyDescent="0.2"/>
    <row r="228" s="1" customFormat="1" x14ac:dyDescent="0.2"/>
    <row r="229" s="1" customFormat="1" x14ac:dyDescent="0.2"/>
    <row r="230" s="1" customFormat="1" x14ac:dyDescent="0.2"/>
    <row r="231" s="1" customFormat="1" x14ac:dyDescent="0.2"/>
    <row r="232" s="1" customFormat="1" x14ac:dyDescent="0.2"/>
    <row r="233" s="1" customFormat="1" x14ac:dyDescent="0.2"/>
    <row r="234" s="1" customFormat="1" x14ac:dyDescent="0.2"/>
    <row r="235" s="1" customFormat="1" x14ac:dyDescent="0.2"/>
    <row r="236" s="1" customFormat="1" x14ac:dyDescent="0.2"/>
    <row r="237" s="1" customFormat="1" x14ac:dyDescent="0.2"/>
    <row r="238" s="1" customFormat="1" x14ac:dyDescent="0.2"/>
    <row r="239" s="1" customFormat="1" x14ac:dyDescent="0.2"/>
    <row r="240" s="1" customFormat="1" x14ac:dyDescent="0.2"/>
    <row r="241" s="1" customFormat="1" x14ac:dyDescent="0.2"/>
    <row r="242" s="1" customFormat="1" x14ac:dyDescent="0.2"/>
    <row r="243" s="1" customFormat="1" x14ac:dyDescent="0.2"/>
    <row r="244" s="1" customFormat="1" x14ac:dyDescent="0.2"/>
  </sheetData>
  <mergeCells count="51">
    <mergeCell ref="D64:K64"/>
    <mergeCell ref="D65:K65"/>
    <mergeCell ref="D66:K66"/>
    <mergeCell ref="D67:K67"/>
    <mergeCell ref="D58:K58"/>
    <mergeCell ref="D59:K59"/>
    <mergeCell ref="D60:K60"/>
    <mergeCell ref="D61:K61"/>
    <mergeCell ref="D63:K63"/>
    <mergeCell ref="N25:O25"/>
    <mergeCell ref="D26:K26"/>
    <mergeCell ref="D28:K28"/>
    <mergeCell ref="D29:K29"/>
    <mergeCell ref="E5:M7"/>
    <mergeCell ref="H8:J8"/>
    <mergeCell ref="N13:O13"/>
    <mergeCell ref="N14:O14"/>
    <mergeCell ref="N15:O15"/>
    <mergeCell ref="D27:K27"/>
    <mergeCell ref="B68:O68"/>
    <mergeCell ref="D37:K37"/>
    <mergeCell ref="D38:K38"/>
    <mergeCell ref="D62:K62"/>
    <mergeCell ref="L25:M25"/>
    <mergeCell ref="D36:K36"/>
    <mergeCell ref="D33:K33"/>
    <mergeCell ref="D34:K34"/>
    <mergeCell ref="D25:K25"/>
    <mergeCell ref="D30:K30"/>
    <mergeCell ref="D31:K31"/>
    <mergeCell ref="D32:K32"/>
    <mergeCell ref="D35:K35"/>
    <mergeCell ref="D39:K39"/>
    <mergeCell ref="D40:K40"/>
    <mergeCell ref="D57:K57"/>
    <mergeCell ref="D54:K54"/>
    <mergeCell ref="D55:K55"/>
    <mergeCell ref="D56:K56"/>
    <mergeCell ref="D41:K41"/>
    <mergeCell ref="D42:K42"/>
    <mergeCell ref="D43:K43"/>
    <mergeCell ref="D44:K44"/>
    <mergeCell ref="D45:K45"/>
    <mergeCell ref="D46:K46"/>
    <mergeCell ref="D47:K47"/>
    <mergeCell ref="D48:K48"/>
    <mergeCell ref="D49:K49"/>
    <mergeCell ref="D50:K50"/>
    <mergeCell ref="D51:K51"/>
    <mergeCell ref="D52:K52"/>
    <mergeCell ref="D53:K53"/>
  </mergeCells>
  <hyperlinks>
    <hyperlink ref="F22" r:id="rId1" xr:uid="{F0BB5EAA-A86E-410E-8E44-E46D86665E80}"/>
  </hyperlinks>
  <pageMargins left="0.7" right="0.7" top="0.75" bottom="0.75" header="0.3" footer="0.3"/>
  <pageSetup paperSize="9" scale="39" orientation="portrait" horizontalDpi="1200" vertic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C1</vt:lpstr>
      <vt:lpstr>C2</vt:lpstr>
      <vt:lpstr>'C1'!Área_de_impresión</vt:lpstr>
      <vt:lpstr>'C2'!Área_de_impresión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Miguel Villegas Perez</cp:lastModifiedBy>
  <dcterms:created xsi:type="dcterms:W3CDTF">2022-08-23T23:01:15Z</dcterms:created>
  <dcterms:modified xsi:type="dcterms:W3CDTF">2025-02-05T21:21:11Z</dcterms:modified>
</cp:coreProperties>
</file>