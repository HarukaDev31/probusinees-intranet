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ea0715c3b27ff88/Escritorio/"/>
    </mc:Choice>
  </mc:AlternateContent>
  <xr:revisionPtr revIDLastSave="0" documentId="14_{2B2DFC01-4C34-4E1F-9083-2D98AD4F2F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1" r:id="rId1"/>
    <sheet name="2" sheetId="2" r:id="rId2"/>
  </sheets>
  <definedNames>
    <definedName name="_xlnm.Print_Area" localSheetId="0">'1'!$A$1:$M$105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2" l="1"/>
  <c r="L27" i="2"/>
  <c r="L26" i="2"/>
  <c r="L14" i="2"/>
  <c r="L12" i="2"/>
  <c r="K12" i="2"/>
  <c r="J12" i="2"/>
  <c r="I12" i="2"/>
  <c r="H12" i="2"/>
  <c r="G12" i="2"/>
  <c r="F12" i="2"/>
  <c r="E12" i="2"/>
  <c r="D12" i="2"/>
  <c r="C12" i="2"/>
  <c r="K11" i="2"/>
  <c r="J11" i="2"/>
  <c r="I11" i="2"/>
  <c r="H11" i="2"/>
  <c r="G11" i="2"/>
  <c r="F11" i="2"/>
  <c r="E11" i="2"/>
  <c r="D11" i="2"/>
  <c r="C11" i="2"/>
  <c r="L10" i="2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F45" i="1" s="1"/>
  <c r="G36" i="1"/>
  <c r="F36" i="1"/>
  <c r="K30" i="1"/>
  <c r="J20" i="1"/>
  <c r="J11" i="1"/>
  <c r="F9" i="1"/>
  <c r="J8" i="1"/>
  <c r="I13" i="2" l="1"/>
  <c r="K13" i="2"/>
  <c r="L11" i="2"/>
  <c r="H13" i="2" s="1"/>
  <c r="H40" i="2" l="1"/>
  <c r="H14" i="2"/>
  <c r="I40" i="2"/>
  <c r="I14" i="2"/>
  <c r="J13" i="2"/>
  <c r="K14" i="2"/>
  <c r="K40" i="2"/>
  <c r="K14" i="1"/>
  <c r="E13" i="2"/>
  <c r="C13" i="2"/>
  <c r="D13" i="2"/>
  <c r="G13" i="2"/>
  <c r="F13" i="2"/>
  <c r="K16" i="2" l="1"/>
  <c r="K15" i="2"/>
  <c r="G40" i="2"/>
  <c r="G14" i="2"/>
  <c r="C40" i="2"/>
  <c r="C14" i="2"/>
  <c r="J40" i="2"/>
  <c r="J14" i="2"/>
  <c r="F40" i="2"/>
  <c r="F14" i="2"/>
  <c r="D40" i="2"/>
  <c r="D14" i="2"/>
  <c r="E40" i="2"/>
  <c r="E14" i="2"/>
  <c r="H16" i="2"/>
  <c r="H15" i="2"/>
  <c r="K29" i="1"/>
  <c r="I16" i="2"/>
  <c r="I15" i="2"/>
  <c r="D15" i="2" l="1"/>
  <c r="D16" i="2"/>
  <c r="J16" i="2"/>
  <c r="J15" i="2"/>
  <c r="E15" i="2"/>
  <c r="E16" i="2"/>
  <c r="F16" i="2"/>
  <c r="F15" i="2"/>
  <c r="C15" i="2"/>
  <c r="C16" i="2"/>
  <c r="G16" i="2"/>
  <c r="G15" i="2"/>
  <c r="L15" i="2" l="1"/>
  <c r="L16" i="2"/>
  <c r="J17" i="2" l="1"/>
  <c r="I17" i="2"/>
  <c r="H17" i="2"/>
  <c r="K17" i="2"/>
  <c r="G17" i="2"/>
  <c r="F17" i="2"/>
  <c r="E17" i="2"/>
  <c r="D17" i="2"/>
  <c r="C17" i="2"/>
  <c r="I18" i="2" l="1"/>
  <c r="I19" i="2"/>
  <c r="I28" i="2" s="1"/>
  <c r="L17" i="2"/>
  <c r="K15" i="1" s="1"/>
  <c r="K16" i="1" s="1"/>
  <c r="C18" i="2"/>
  <c r="C19" i="2"/>
  <c r="D18" i="2"/>
  <c r="D19" i="2"/>
  <c r="D28" i="2" s="1"/>
  <c r="E19" i="2"/>
  <c r="E18" i="2"/>
  <c r="F18" i="2"/>
  <c r="F19" i="2"/>
  <c r="F28" i="2" s="1"/>
  <c r="G19" i="2"/>
  <c r="G18" i="2"/>
  <c r="K19" i="2"/>
  <c r="K18" i="2"/>
  <c r="H19" i="2"/>
  <c r="H28" i="2" s="1"/>
  <c r="H18" i="2"/>
  <c r="J18" i="2"/>
  <c r="J19" i="2"/>
  <c r="J28" i="2" s="1"/>
  <c r="H30" i="2" l="1"/>
  <c r="H29" i="2"/>
  <c r="K28" i="2"/>
  <c r="G28" i="2"/>
  <c r="F30" i="2"/>
  <c r="F29" i="2"/>
  <c r="F31" i="2" s="1"/>
  <c r="F32" i="2" s="1"/>
  <c r="F44" i="2" s="1"/>
  <c r="E28" i="2"/>
  <c r="D30" i="2"/>
  <c r="D29" i="2"/>
  <c r="C28" i="2"/>
  <c r="L19" i="2"/>
  <c r="L18" i="2"/>
  <c r="J29" i="2"/>
  <c r="J30" i="2"/>
  <c r="I30" i="2"/>
  <c r="I29" i="2"/>
  <c r="I31" i="2" s="1"/>
  <c r="J39" i="1" l="1"/>
  <c r="F46" i="2"/>
  <c r="I32" i="2"/>
  <c r="I44" i="2" s="1"/>
  <c r="C29" i="2"/>
  <c r="L28" i="2"/>
  <c r="C30" i="2"/>
  <c r="D31" i="2"/>
  <c r="D32" i="2" s="1"/>
  <c r="D44" i="2" s="1"/>
  <c r="E30" i="2"/>
  <c r="E29" i="2"/>
  <c r="E31" i="2" s="1"/>
  <c r="G29" i="2"/>
  <c r="G31" i="2" s="1"/>
  <c r="G30" i="2"/>
  <c r="G32" i="2" s="1"/>
  <c r="G44" i="2" s="1"/>
  <c r="K30" i="2"/>
  <c r="K29" i="2"/>
  <c r="K31" i="2" s="1"/>
  <c r="J31" i="2"/>
  <c r="J32" i="2" s="1"/>
  <c r="J44" i="2" s="1"/>
  <c r="H31" i="2"/>
  <c r="H32" i="2" s="1"/>
  <c r="H44" i="2" s="1"/>
  <c r="J41" i="1" l="1"/>
  <c r="H46" i="2"/>
  <c r="J43" i="1"/>
  <c r="J46" i="2"/>
  <c r="D46" i="2"/>
  <c r="J37" i="1"/>
  <c r="G46" i="2"/>
  <c r="J40" i="1"/>
  <c r="E32" i="2"/>
  <c r="E44" i="2" s="1"/>
  <c r="I39" i="1"/>
  <c r="F47" i="2"/>
  <c r="K39" i="1" s="1"/>
  <c r="L30" i="2"/>
  <c r="K22" i="1" s="1"/>
  <c r="K32" i="2"/>
  <c r="K44" i="2" s="1"/>
  <c r="C31" i="2"/>
  <c r="K20" i="1"/>
  <c r="K23" i="1" s="1"/>
  <c r="L29" i="2"/>
  <c r="K21" i="1" s="1"/>
  <c r="J42" i="1"/>
  <c r="I46" i="2"/>
  <c r="L31" i="2" l="1"/>
  <c r="C32" i="2"/>
  <c r="C44" i="2" s="1"/>
  <c r="J44" i="1"/>
  <c r="K46" i="2"/>
  <c r="J38" i="1"/>
  <c r="E46" i="2"/>
  <c r="G47" i="2"/>
  <c r="K40" i="1" s="1"/>
  <c r="I40" i="1"/>
  <c r="I37" i="1"/>
  <c r="D47" i="2"/>
  <c r="K37" i="1" s="1"/>
  <c r="J47" i="2"/>
  <c r="K43" i="1" s="1"/>
  <c r="I43" i="1"/>
  <c r="I42" i="1"/>
  <c r="I47" i="2"/>
  <c r="K42" i="1" s="1"/>
  <c r="H47" i="2"/>
  <c r="K41" i="1" s="1"/>
  <c r="I41" i="1"/>
  <c r="E47" i="2" l="1"/>
  <c r="K38" i="1" s="1"/>
  <c r="I38" i="1"/>
  <c r="K47" i="2"/>
  <c r="K44" i="1" s="1"/>
  <c r="I44" i="1"/>
  <c r="C46" i="2"/>
  <c r="L44" i="2"/>
  <c r="J36" i="1"/>
  <c r="J45" i="1" s="1"/>
  <c r="K25" i="1"/>
  <c r="K26" i="1" s="1"/>
  <c r="K31" i="1" s="1"/>
  <c r="K32" i="1" s="1"/>
  <c r="L32" i="2"/>
  <c r="I36" i="1" l="1"/>
  <c r="C47" i="2"/>
  <c r="K36" i="1" s="1"/>
</calcChain>
</file>

<file path=xl/sharedStrings.xml><?xml version="1.0" encoding="utf-8"?>
<sst xmlns="http://schemas.openxmlformats.org/spreadsheetml/2006/main" count="165" uniqueCount="121">
  <si>
    <t>PRO MUNDO COMEX S.A.C.</t>
  </si>
  <si>
    <t xml:space="preserve">         RUC: 20612452432</t>
  </si>
  <si>
    <t>COTIZACION N002</t>
  </si>
  <si>
    <t>NOMBRE:</t>
  </si>
  <si>
    <t>Percy Sullca Tito</t>
  </si>
  <si>
    <t>SERVICIO:</t>
  </si>
  <si>
    <t>CARGA CONSOLIDADA</t>
  </si>
  <si>
    <t>N° CAJAS:</t>
  </si>
  <si>
    <t>APELLIDO:</t>
  </si>
  <si>
    <t>FECHA:</t>
  </si>
  <si>
    <t>PESO:</t>
  </si>
  <si>
    <t xml:space="preserve"> Kg</t>
  </si>
  <si>
    <t>DNI/RUC:</t>
  </si>
  <si>
    <t>ORIGEN:</t>
  </si>
  <si>
    <t>CHINA</t>
  </si>
  <si>
    <t>MEDIDA:</t>
  </si>
  <si>
    <t>TELEFONO:</t>
  </si>
  <si>
    <t>972 896 791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</si>
  <si>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</si>
  <si>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</si>
  <si>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</si>
  <si>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</si>
  <si>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</si>
  <si>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</si>
  <si>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</si>
  <si>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</si>
  <si>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</si>
  <si>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</si>
  <si>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</si>
  <si>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</si>
  <si>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</si>
  <si>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Percy Sullca Tito 😁 un gusto saludarte!
        A continuación te envío la cotización final de tu importación📋📦.
        🙋‍♂️ PAGO PENDIENTE :
        ☑️Costo CBM: $445.5
        ☑️Impuestos: $499.56
        ☑️ Total: $945.06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</si>
  <si>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</si>
  <si>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</si>
  <si>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</si>
  <si>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</si>
  <si>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</si>
  <si>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</si>
  <si>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</si>
  <si>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</si>
  <si>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</si>
  <si>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</si>
  <si>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</si>
  <si>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</si>
  <si>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</si>
  <si>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</si>
  <si>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</si>
  <si>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</si>
  <si>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</si>
  <si>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</si>
  <si>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</si>
  <si>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</si>
  <si>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</si>
  <si>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</si>
  <si>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</si>
  <si>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</si>
  <si>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</si>
  <si>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</si>
  <si>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</si>
  <si>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>No se emite comprobante por concepto de "PERCEPCIÓN, ANTI DUMPING, GESTIÓN DE COMPRA"</t>
    </r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</si>
  <si>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 xml:space="preserve">A nosotros se nos pagan los </t>
    </r>
    <r>
      <rPr>
        <b/>
        <sz val="14"/>
        <color rgb="FF000000"/>
        <rFont val="Calibri Light"/>
      </rPr>
      <t>Gastos Logísticos + Impuestos</t>
    </r>
    <r>
      <rPr>
        <sz val="14"/>
        <color rgb="FF000000"/>
        <rFont val="Calibri Light"/>
      </rPr>
      <t xml:space="preserve"> una semana antes de que el contenedor</t>
    </r>
  </si>
  <si>
    <t>llegue al puerto del Callao.</t>
  </si>
  <si>
    <r>
      <rPr>
        <b/>
        <sz val="14"/>
        <color rgb="FF000000"/>
        <rFont val="Calibri Light"/>
      </rPr>
      <t>*</t>
    </r>
    <r>
      <rPr>
        <sz val="14"/>
        <color rgb="FF000000"/>
        <rFont val="Calibri Light"/>
      </rPr>
      <t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</si>
  <si>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</si>
  <si>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</si>
  <si>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</si>
  <si>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</si>
  <si>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</si>
  <si>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</si>
  <si>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</si>
  <si>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</si>
  <si>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</si>
  <si>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</si>
  <si>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</si>
  <si>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</si>
  <si>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</si>
  <si>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</si>
  <si>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</si>
  <si>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</si>
  <si>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</si>
  <si>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</si>
  <si>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>13.</t>
    </r>
    <r>
      <rPr>
        <sz val="7"/>
        <color rgb="FF000000"/>
        <rFont val="Calibri Light"/>
      </rPr>
      <t xml:space="preserve"> </t>
    </r>
    <r>
      <rPr>
        <sz val="11"/>
        <color rgb="FF000000"/>
        <rFont val="Calibri Light"/>
      </rPr>
      <t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</si>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</sst>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\ #,##0.00_-"/>
  </numFmts>
  <fonts count="21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 Light"/>
    </font>
    <font>
      <b/>
      <sz val="11"/>
      <color rgb="FF000000"/>
      <name val="Calibri Light"/>
    </font>
    <font>
      <sz val="11"/>
      <color rgb="FFFFFFFF"/>
      <name val="Calibri Light"/>
    </font>
    <font>
      <sz val="8"/>
      <color rgb="FF000000"/>
      <name val="Calibri"/>
    </font>
    <font>
      <sz val="11"/>
      <color rgb="FFFFFFFF"/>
      <name val="Calibri"/>
    </font>
    <font>
      <u/>
      <sz val="11"/>
      <color rgb="FF000000"/>
      <name val="Calibri"/>
    </font>
    <font>
      <b/>
      <sz val="20"/>
      <color rgb="FF000000"/>
      <name val="Calibri"/>
    </font>
    <font>
      <sz val="12"/>
      <color rgb="FFFFFFFF"/>
      <name val="Arial"/>
    </font>
    <font>
      <b/>
      <sz val="20"/>
      <color rgb="FFFF500B"/>
      <name val="Calibri"/>
    </font>
    <font>
      <b/>
      <sz val="11"/>
      <color rgb="FFFFFFFF"/>
      <name val="Calibri Light"/>
    </font>
    <font>
      <sz val="14"/>
      <color rgb="FF000000"/>
      <name val="Calibri Light"/>
    </font>
    <font>
      <sz val="11"/>
      <color rgb="FFFFFFFF"/>
      <name val="Arial"/>
    </font>
    <font>
      <b/>
      <sz val="16"/>
      <color rgb="FF000000"/>
      <name val="Calibri Light"/>
    </font>
    <font>
      <sz val="11"/>
      <color rgb="FFFF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b/>
      <u/>
      <sz val="11"/>
      <color rgb="FF000000"/>
      <name val="Calibri"/>
    </font>
    <font>
      <b/>
      <sz val="14"/>
      <color rgb="FF000000"/>
      <name val="Calibri Light"/>
    </font>
    <font>
      <sz val="7"/>
      <color rgb="FF000000"/>
      <name val="Calibri Light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  <fill>
      <patternFill patternType="solid">
        <fgColor rgb="FF009999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0" xfId="0" applyFont="1" applyFill="1"/>
    <xf numFmtId="166" fontId="2" fillId="3" borderId="0" xfId="0" applyNumberFormat="1" applyFont="1" applyFill="1" applyAlignment="1">
      <alignment horizontal="center"/>
    </xf>
    <xf numFmtId="166" fontId="2" fillId="3" borderId="2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0" fillId="3" borderId="6" xfId="0" applyFill="1" applyBorder="1" applyAlignment="1">
      <alignment horizontal="center"/>
    </xf>
    <xf numFmtId="0" fontId="1" fillId="3" borderId="4" xfId="0" applyFont="1" applyFill="1" applyBorder="1"/>
    <xf numFmtId="0" fontId="6" fillId="6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166" fontId="2" fillId="3" borderId="7" xfId="0" applyNumberFormat="1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0" fillId="3" borderId="4" xfId="0" applyFill="1" applyBorder="1"/>
    <xf numFmtId="0" fontId="4" fillId="3" borderId="8" xfId="0" applyFont="1" applyFill="1" applyBorder="1"/>
    <xf numFmtId="0" fontId="6" fillId="3" borderId="8" xfId="0" applyFont="1" applyFill="1" applyBorder="1" applyAlignment="1">
      <alignment vertical="center"/>
    </xf>
    <xf numFmtId="0" fontId="7" fillId="3" borderId="0" xfId="0" applyFont="1" applyFill="1"/>
    <xf numFmtId="0" fontId="12" fillId="3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/>
    </xf>
    <xf numFmtId="0" fontId="0" fillId="10" borderId="1" xfId="0" applyFill="1" applyBorder="1"/>
    <xf numFmtId="0" fontId="6" fillId="9" borderId="1" xfId="0" applyFont="1" applyFill="1" applyBorder="1"/>
    <xf numFmtId="171" fontId="0" fillId="2" borderId="1" xfId="0" applyNumberFormat="1" applyFill="1" applyBorder="1"/>
    <xf numFmtId="172" fontId="0" fillId="2" borderId="1" xfId="0" applyNumberFormat="1" applyFill="1" applyBorder="1" applyAlignment="1">
      <alignment horizontal="right"/>
    </xf>
    <xf numFmtId="0" fontId="1" fillId="2" borderId="1" xfId="0" applyFont="1" applyFill="1" applyBorder="1"/>
    <xf numFmtId="10" fontId="0" fillId="2" borderId="1" xfId="0" applyNumberFormat="1" applyFill="1" applyBorder="1"/>
    <xf numFmtId="173" fontId="0" fillId="2" borderId="1" xfId="0" applyNumberFormat="1" applyFill="1" applyBorder="1"/>
    <xf numFmtId="171" fontId="1" fillId="2" borderId="1" xfId="0" applyNumberFormat="1" applyFont="1" applyFill="1" applyBorder="1"/>
    <xf numFmtId="10" fontId="15" fillId="2" borderId="1" xfId="0" applyNumberFormat="1" applyFont="1" applyFill="1" applyBorder="1"/>
    <xf numFmtId="171" fontId="1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171" fontId="19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/>
    </xf>
    <xf numFmtId="0" fontId="2" fillId="3" borderId="0" xfId="0" applyFont="1" applyFill="1"/>
    <xf numFmtId="0" fontId="12" fillId="3" borderId="0" xfId="0" applyFont="1" applyFill="1"/>
    <xf numFmtId="0" fontId="1" fillId="3" borderId="1" xfId="0" applyFont="1" applyFill="1" applyBorder="1" applyAlignment="1">
      <alignment horizontal="center"/>
    </xf>
    <xf numFmtId="173" fontId="16" fillId="11" borderId="1" xfId="0" applyNumberFormat="1" applyFont="1" applyFill="1" applyBorder="1" applyAlignment="1">
      <alignment horizontal="center"/>
    </xf>
    <xf numFmtId="167" fontId="6" fillId="4" borderId="1" xfId="0" applyNumberFormat="1" applyFont="1" applyFill="1" applyBorder="1" applyAlignment="1">
      <alignment horizontal="center"/>
    </xf>
    <xf numFmtId="17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4" fontId="2" fillId="7" borderId="0" xfId="0" applyNumberFormat="1" applyFont="1" applyFill="1" applyAlignment="1">
      <alignment horizontal="center"/>
    </xf>
    <xf numFmtId="170" fontId="2" fillId="7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13" fillId="4" borderId="0" xfId="0" applyFont="1" applyFill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0" fillId="3" borderId="0" xfId="0" applyFill="1"/>
    <xf numFmtId="0" fontId="3" fillId="3" borderId="7" xfId="0" applyFont="1" applyFill="1" applyBorder="1"/>
    <xf numFmtId="0" fontId="2" fillId="3" borderId="2" xfId="0" applyFont="1" applyFill="1" applyBorder="1"/>
    <xf numFmtId="0" fontId="8" fillId="3" borderId="0" xfId="0" applyFont="1" applyFill="1" applyAlignment="1">
      <alignment horizontal="center"/>
    </xf>
    <xf numFmtId="0" fontId="13" fillId="4" borderId="0" xfId="0" applyFont="1" applyFill="1"/>
    <xf numFmtId="0" fontId="2" fillId="3" borderId="2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4" borderId="10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169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/>
    </xf>
    <xf numFmtId="0" fontId="2" fillId="3" borderId="12" xfId="0" applyFont="1" applyFill="1" applyBorder="1"/>
    <xf numFmtId="168" fontId="2" fillId="7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14" fontId="2" fillId="3" borderId="8" xfId="0" applyNumberFormat="1" applyFont="1" applyFill="1" applyBorder="1" applyAlignment="1">
      <alignment horizontal="left"/>
    </xf>
    <xf numFmtId="0" fontId="0" fillId="3" borderId="8" xfId="0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3" fillId="3" borderId="2" xfId="0" applyFont="1" applyFill="1" applyBorder="1"/>
    <xf numFmtId="0" fontId="9" fillId="6" borderId="0" xfId="0" applyFont="1" applyFill="1" applyAlignment="1">
      <alignment horizontal="left"/>
    </xf>
    <xf numFmtId="167" fontId="17" fillId="3" borderId="1" xfId="0" applyNumberFormat="1" applyFont="1" applyFill="1" applyBorder="1" applyAlignment="1">
      <alignment horizontal="left"/>
    </xf>
    <xf numFmtId="167" fontId="0" fillId="3" borderId="1" xfId="0" applyNumberFormat="1" applyFill="1" applyBorder="1"/>
    <xf numFmtId="0" fontId="0" fillId="3" borderId="1" xfId="0" applyFill="1" applyBorder="1"/>
    <xf numFmtId="0" fontId="1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2" name="Imagen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514350</xdr:colOff>
      <xdr:row>50</xdr:row>
      <xdr:rowOff>9525</xdr:rowOff>
    </xdr:from>
    <xdr:ext cx="1209675" cy="1190625"/>
    <xdr:pic>
      <xdr:nvPicPr>
        <xdr:cNvPr id="3" name="Imagen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695325</xdr:colOff>
      <xdr:row>86</xdr:row>
      <xdr:rowOff>104775</xdr:rowOff>
    </xdr:from>
    <xdr:ext cx="4057650" cy="3429000"/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showGridLines="0" tabSelected="1" zoomScale="85" zoomScaleNormal="85" workbookViewId="0">
      <selection activeCell="J9" sqref="J9:L9"/>
    </sheetView>
  </sheetViews>
  <sheetFormatPr baseColWidth="10" defaultColWidth="10.77734375" defaultRowHeight="14.4" x14ac:dyDescent="0.3"/>
  <cols>
    <col min="1" max="1" width="7.109375" style="1" customWidth="1"/>
    <col min="2" max="2" width="11.77734375" style="1" customWidth="1"/>
    <col min="3" max="3" width="21.44140625" style="1" customWidth="1"/>
    <col min="4" max="4" width="0.88671875" style="1" customWidth="1"/>
    <col min="5" max="5" width="12.109375" style="1" customWidth="1"/>
    <col min="6" max="6" width="10.77734375" style="1"/>
    <col min="7" max="7" width="15.88671875" style="1" customWidth="1"/>
    <col min="8" max="8" width="0.88671875" style="1" customWidth="1"/>
    <col min="9" max="9" width="11.6640625" style="1" bestFit="1" customWidth="1"/>
    <col min="10" max="10" width="10.6640625" style="1" customWidth="1"/>
    <col min="11" max="11" width="10.77734375" style="1"/>
    <col min="12" max="12" width="8.77734375" style="1" customWidth="1"/>
    <col min="13" max="13" width="10.77734375" style="1"/>
  </cols>
  <sheetData>
    <row r="1" spans="1:13" ht="18" customHeight="1" x14ac:dyDescent="0.3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/>
    </row>
    <row r="2" spans="1:13" ht="18" customHeight="1" x14ac:dyDescent="0.3">
      <c r="B2" s="55"/>
      <c r="C2" s="55"/>
      <c r="E2" s="71"/>
      <c r="F2" s="71"/>
      <c r="G2" s="71"/>
      <c r="H2" s="71"/>
      <c r="I2" s="71"/>
      <c r="J2" s="71"/>
      <c r="K2" s="71"/>
      <c r="L2" s="71"/>
    </row>
    <row r="3" spans="1:13" ht="25.8" customHeight="1" x14ac:dyDescent="0.5">
      <c r="B3" s="55"/>
      <c r="C3" s="55"/>
      <c r="E3" s="78" t="s">
        <v>0</v>
      </c>
      <c r="F3" s="78"/>
      <c r="G3" s="78"/>
      <c r="H3" s="78"/>
      <c r="I3" s="78"/>
      <c r="J3" s="78"/>
    </row>
    <row r="4" spans="1:13" ht="25.8" customHeight="1" x14ac:dyDescent="0.5">
      <c r="B4" s="55"/>
      <c r="C4" s="55"/>
      <c r="E4" s="79" t="s">
        <v>1</v>
      </c>
      <c r="F4" s="79"/>
      <c r="G4" s="79"/>
      <c r="H4" s="79"/>
      <c r="I4" s="79"/>
      <c r="J4" s="79"/>
      <c r="K4" s="12"/>
    </row>
    <row r="5" spans="1:13" x14ac:dyDescent="0.3">
      <c r="B5" s="55"/>
      <c r="C5" s="55"/>
      <c r="D5" s="34"/>
    </row>
    <row r="6" spans="1:13" x14ac:dyDescent="0.3">
      <c r="B6" s="55"/>
      <c r="C6" s="55"/>
      <c r="D6" s="24"/>
      <c r="F6" s="24"/>
      <c r="G6" s="24"/>
      <c r="H6" s="24"/>
    </row>
    <row r="7" spans="1:13" x14ac:dyDescent="0.3">
      <c r="A7" s="55"/>
      <c r="B7" s="55"/>
      <c r="C7" s="55"/>
      <c r="E7" s="88" t="s">
        <v>2</v>
      </c>
      <c r="F7" s="88"/>
      <c r="G7" s="88"/>
      <c r="I7" s="55"/>
      <c r="J7" s="55"/>
      <c r="K7" s="55"/>
      <c r="L7" s="55"/>
    </row>
    <row r="8" spans="1:13" x14ac:dyDescent="0.3">
      <c r="B8" s="7" t="s">
        <v>3</v>
      </c>
      <c r="C8" s="101" t="s">
        <v>4</v>
      </c>
      <c r="D8" s="32"/>
      <c r="E8" s="21" t="s">
        <v>5</v>
      </c>
      <c r="F8" s="92" t="s">
        <v>6</v>
      </c>
      <c r="G8" s="93"/>
      <c r="H8" s="31"/>
      <c r="I8" s="1" t="s">
        <v>7</v>
      </c>
      <c r="J8" s="83">
        <f>+'2'!F7</f>
        <v>0</v>
      </c>
      <c r="K8" s="83"/>
      <c r="L8" s="83"/>
    </row>
    <row r="9" spans="1:13" x14ac:dyDescent="0.3">
      <c r="B9" s="7" t="s">
        <v>8</v>
      </c>
      <c r="C9" s="102"/>
      <c r="D9" s="32"/>
      <c r="E9" s="22" t="s">
        <v>9</v>
      </c>
      <c r="F9" s="89">
        <f ca="1">+TODAY()</f>
        <v>45727</v>
      </c>
      <c r="G9" s="90"/>
      <c r="H9" s="31"/>
      <c r="I9" s="1" t="s">
        <v>10</v>
      </c>
      <c r="J9" s="85" t="s">
        <v>11</v>
      </c>
      <c r="K9" s="87"/>
      <c r="L9" s="87"/>
    </row>
    <row r="10" spans="1:13" x14ac:dyDescent="0.3">
      <c r="B10" s="7" t="s">
        <v>12</v>
      </c>
      <c r="C10" s="15">
        <v>10518506</v>
      </c>
      <c r="D10" s="32"/>
      <c r="E10" s="26" t="s">
        <v>13</v>
      </c>
      <c r="F10" s="71" t="s">
        <v>14</v>
      </c>
      <c r="G10" s="91"/>
      <c r="H10" s="31"/>
      <c r="I10" s="1" t="s">
        <v>15</v>
      </c>
      <c r="J10" s="84"/>
      <c r="K10" s="85"/>
      <c r="L10" s="84"/>
    </row>
    <row r="11" spans="1:13" x14ac:dyDescent="0.3">
      <c r="B11" s="7" t="s">
        <v>16</v>
      </c>
      <c r="C11" s="16" t="s">
        <v>17</v>
      </c>
      <c r="D11" s="33"/>
      <c r="E11" s="23" t="s">
        <v>18</v>
      </c>
      <c r="F11" s="73" t="s">
        <v>19</v>
      </c>
      <c r="G11" s="86"/>
      <c r="H11" s="31"/>
      <c r="I11" s="1" t="s">
        <v>20</v>
      </c>
      <c r="J11" s="63">
        <f>'2'!L7</f>
        <v>1.24</v>
      </c>
      <c r="K11" s="64"/>
      <c r="L11" s="64"/>
    </row>
    <row r="12" spans="1:13" x14ac:dyDescent="0.3"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</row>
    <row r="13" spans="1:13" x14ac:dyDescent="0.3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9" t="s">
        <v>22</v>
      </c>
      <c r="L13" s="9" t="s">
        <v>23</v>
      </c>
    </row>
    <row r="14" spans="1:13" x14ac:dyDescent="0.3">
      <c r="B14" s="53" t="s">
        <v>24</v>
      </c>
      <c r="C14" s="53"/>
      <c r="D14" s="53"/>
      <c r="E14" s="53"/>
      <c r="F14" s="53"/>
      <c r="G14" s="53"/>
      <c r="H14" s="53"/>
      <c r="I14" s="53"/>
      <c r="J14" s="53"/>
      <c r="K14" s="13">
        <f>'2'!L11</f>
        <v>1888.4999999999991</v>
      </c>
      <c r="L14" s="8" t="s">
        <v>25</v>
      </c>
    </row>
    <row r="15" spans="1:13" x14ac:dyDescent="0.3">
      <c r="B15" s="76" t="s">
        <v>26</v>
      </c>
      <c r="C15" s="76"/>
      <c r="D15" s="76"/>
      <c r="E15" s="76"/>
      <c r="F15" s="76"/>
      <c r="G15" s="76"/>
      <c r="H15" s="76"/>
      <c r="I15" s="76"/>
      <c r="J15" s="76"/>
      <c r="K15" s="14">
        <f>'2'!L14 + '2'!L17</f>
        <v>328.99</v>
      </c>
      <c r="L15" s="11" t="s">
        <v>25</v>
      </c>
    </row>
    <row r="16" spans="1:13" x14ac:dyDescent="0.3">
      <c r="B16" s="72" t="s">
        <v>27</v>
      </c>
      <c r="C16" s="72"/>
      <c r="D16" s="72"/>
      <c r="E16" s="72"/>
      <c r="F16" s="72"/>
      <c r="G16" s="72"/>
      <c r="H16" s="72"/>
      <c r="I16" s="72"/>
      <c r="J16" s="72"/>
      <c r="K16" s="13">
        <f>SUM(K14:K15)</f>
        <v>2217.4899999999989</v>
      </c>
      <c r="L16" s="8" t="s">
        <v>25</v>
      </c>
    </row>
    <row r="17" spans="2:14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4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2:14" x14ac:dyDescent="0.3">
      <c r="B19" s="66" t="s">
        <v>28</v>
      </c>
      <c r="C19" s="66"/>
      <c r="D19" s="66"/>
      <c r="E19" s="66"/>
      <c r="F19" s="66"/>
      <c r="G19" s="17"/>
      <c r="H19" s="17"/>
      <c r="I19" s="17"/>
      <c r="J19" s="9" t="s">
        <v>29</v>
      </c>
      <c r="K19" s="9" t="s">
        <v>22</v>
      </c>
      <c r="L19" s="9" t="s">
        <v>23</v>
      </c>
    </row>
    <row r="20" spans="2:14" x14ac:dyDescent="0.3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MAX('2'!C27:K27)</f>
        <v>6.3E-3</v>
      </c>
      <c r="K20" s="13">
        <f>'2'!L28</f>
        <v>7.2237059999999991</v>
      </c>
      <c r="L20" s="8" t="s">
        <v>25</v>
      </c>
      <c r="N20" t="s">
        <v>31</v>
      </c>
    </row>
    <row r="21" spans="2:14" x14ac:dyDescent="0.3">
      <c r="B21" s="56" t="s">
        <v>32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'2'!L29</f>
        <v>355.96059295999999</v>
      </c>
      <c r="L21" s="8" t="s">
        <v>25</v>
      </c>
    </row>
    <row r="22" spans="2:14" x14ac:dyDescent="0.3">
      <c r="B22" s="73" t="s">
        <v>33</v>
      </c>
      <c r="C22" s="73"/>
      <c r="D22" s="73"/>
      <c r="E22" s="73"/>
      <c r="F22" s="73"/>
      <c r="G22" s="73"/>
      <c r="H22" s="73"/>
      <c r="I22" s="73"/>
      <c r="J22" s="19">
        <v>0.02</v>
      </c>
      <c r="K22" s="13">
        <f>'2'!L30</f>
        <v>44.495074119999998</v>
      </c>
      <c r="L22" s="8" t="s">
        <v>25</v>
      </c>
    </row>
    <row r="23" spans="2:14" x14ac:dyDescent="0.3">
      <c r="B23" s="72" t="s">
        <v>34</v>
      </c>
      <c r="C23" s="72"/>
      <c r="D23" s="72"/>
      <c r="E23" s="72"/>
      <c r="F23" s="72"/>
      <c r="G23" s="72"/>
      <c r="H23" s="72"/>
      <c r="I23" s="72"/>
      <c r="J23" s="28"/>
      <c r="K23" s="29">
        <f>SUM(K20:K22)</f>
        <v>407.67937308</v>
      </c>
      <c r="L23" s="28" t="s">
        <v>25</v>
      </c>
    </row>
    <row r="24" spans="2:14" x14ac:dyDescent="0.3">
      <c r="B24" s="56"/>
      <c r="C24" s="56"/>
      <c r="D24" s="56"/>
      <c r="E24" s="56"/>
      <c r="F24" s="56"/>
      <c r="G24" s="56"/>
      <c r="H24" s="56"/>
      <c r="I24" s="56"/>
      <c r="J24" s="2"/>
      <c r="K24" s="10"/>
      <c r="L24" s="8"/>
    </row>
    <row r="25" spans="2:14" x14ac:dyDescent="0.3">
      <c r="B25" s="73" t="s">
        <v>35</v>
      </c>
      <c r="C25" s="73"/>
      <c r="D25" s="73"/>
      <c r="E25" s="73"/>
      <c r="F25" s="73"/>
      <c r="G25" s="73"/>
      <c r="H25" s="73"/>
      <c r="I25" s="73"/>
      <c r="J25" s="20" t="s">
        <v>36</v>
      </c>
      <c r="K25" s="14">
        <f>'2'!L31</f>
        <v>91.882328057799995</v>
      </c>
      <c r="L25" s="11" t="s">
        <v>25</v>
      </c>
    </row>
    <row r="26" spans="2:14" x14ac:dyDescent="0.3">
      <c r="B26" s="72" t="s">
        <v>37</v>
      </c>
      <c r="C26" s="72"/>
      <c r="D26" s="72"/>
      <c r="E26" s="72"/>
      <c r="F26" s="72"/>
      <c r="G26" s="72"/>
      <c r="H26" s="72"/>
      <c r="I26" s="72"/>
      <c r="K26" s="13">
        <f>K23+K25</f>
        <v>499.56170113780001</v>
      </c>
      <c r="L26" s="8" t="s">
        <v>25</v>
      </c>
    </row>
    <row r="27" spans="2:14" x14ac:dyDescent="0.3">
      <c r="B27" s="71"/>
      <c r="C27" s="71"/>
      <c r="D27" s="71"/>
      <c r="E27" s="71"/>
      <c r="F27" s="71"/>
      <c r="G27" s="71"/>
      <c r="H27" s="71"/>
      <c r="I27" s="71"/>
    </row>
    <row r="28" spans="2:14" ht="15.6" customHeight="1" x14ac:dyDescent="0.3">
      <c r="B28" s="95" t="s">
        <v>38</v>
      </c>
      <c r="C28" s="95"/>
      <c r="D28" s="95"/>
      <c r="E28" s="95"/>
      <c r="F28" s="95"/>
      <c r="G28" s="95"/>
      <c r="H28" s="95"/>
      <c r="I28" s="95"/>
      <c r="J28" s="95"/>
      <c r="K28" s="27" t="s">
        <v>22</v>
      </c>
      <c r="L28" s="27" t="s">
        <v>23</v>
      </c>
    </row>
    <row r="29" spans="2:14" x14ac:dyDescent="0.3">
      <c r="B29" s="56" t="s">
        <v>39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1888.4999999999991</v>
      </c>
      <c r="L29" s="8" t="s">
        <v>25</v>
      </c>
    </row>
    <row r="30" spans="2:14" x14ac:dyDescent="0.3">
      <c r="B30" s="56" t="s">
        <v>40</v>
      </c>
      <c r="C30" s="56"/>
      <c r="D30" s="56"/>
      <c r="E30" s="56"/>
      <c r="F30" s="56"/>
      <c r="G30" s="56"/>
      <c r="H30" s="56"/>
      <c r="I30" s="56"/>
      <c r="J30" s="56"/>
      <c r="K30" s="13">
        <f>IF('2'!P7&lt;1, '2'!P7*J11, '2'!P7*J11)</f>
        <v>465</v>
      </c>
      <c r="L30" s="8" t="s">
        <v>25</v>
      </c>
    </row>
    <row r="31" spans="2:14" x14ac:dyDescent="0.3">
      <c r="B31" s="73" t="s">
        <v>41</v>
      </c>
      <c r="C31" s="73"/>
      <c r="D31" s="73"/>
      <c r="E31" s="73"/>
      <c r="F31" s="73"/>
      <c r="G31" s="73"/>
      <c r="H31" s="73"/>
      <c r="I31" s="73"/>
      <c r="J31" s="73"/>
      <c r="K31" s="14">
        <f>K26</f>
        <v>499.56170113780001</v>
      </c>
      <c r="L31" s="11" t="s">
        <v>25</v>
      </c>
    </row>
    <row r="32" spans="2:14" x14ac:dyDescent="0.3">
      <c r="B32" s="72" t="s">
        <v>42</v>
      </c>
      <c r="C32" s="72"/>
      <c r="D32" s="72"/>
      <c r="E32" s="72"/>
      <c r="F32" s="72"/>
      <c r="G32" s="72"/>
      <c r="H32" s="72"/>
      <c r="I32" s="72"/>
      <c r="J32" s="72"/>
      <c r="K32" s="13">
        <f>SUM(K29:K31)</f>
        <v>2853.061701137799</v>
      </c>
      <c r="L32" s="8" t="s">
        <v>25</v>
      </c>
    </row>
    <row r="33" spans="2:12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</row>
    <row r="34" spans="2:12" x14ac:dyDescent="0.3">
      <c r="B34" s="80" t="s">
        <v>43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2:12" x14ac:dyDescent="0.3">
      <c r="B35" s="18" t="s">
        <v>44</v>
      </c>
      <c r="C35" s="67" t="s">
        <v>45</v>
      </c>
      <c r="D35" s="68"/>
      <c r="E35" s="69"/>
      <c r="F35" s="4" t="s">
        <v>46</v>
      </c>
      <c r="G35" s="67" t="s">
        <v>47</v>
      </c>
      <c r="H35" s="69"/>
      <c r="I35" s="3" t="s">
        <v>48</v>
      </c>
      <c r="J35" s="25" t="s">
        <v>37</v>
      </c>
      <c r="K35" s="60" t="s">
        <v>49</v>
      </c>
      <c r="L35" s="60"/>
    </row>
    <row r="36" spans="2:12" x14ac:dyDescent="0.3">
      <c r="B36" s="5">
        <v>1</v>
      </c>
      <c r="C36" s="58" t="s">
        <v>50</v>
      </c>
      <c r="D36" s="58"/>
      <c r="E36" s="58"/>
      <c r="F36" s="5">
        <f>'2'!C10</f>
        <v>10</v>
      </c>
      <c r="G36" s="61">
        <f>'2'!C8</f>
        <v>4</v>
      </c>
      <c r="H36" s="62"/>
      <c r="I36" s="49">
        <f>'2'!C46</f>
        <v>6.02</v>
      </c>
      <c r="J36" s="49">
        <f>'2'!C44</f>
        <v>60.244095630659253</v>
      </c>
      <c r="K36" s="59">
        <f>'2'!C47</f>
        <v>22.27</v>
      </c>
      <c r="L36" s="60"/>
    </row>
    <row r="37" spans="2:12" x14ac:dyDescent="0.3">
      <c r="B37" s="5">
        <v>2</v>
      </c>
      <c r="C37" s="58" t="s">
        <v>51</v>
      </c>
      <c r="D37" s="58"/>
      <c r="E37" s="58"/>
      <c r="F37" s="5">
        <f>'2'!D10</f>
        <v>5</v>
      </c>
      <c r="G37" s="61">
        <f>'2'!D8</f>
        <v>5</v>
      </c>
      <c r="H37" s="62"/>
      <c r="I37" s="49">
        <f>'2'!D46</f>
        <v>7.53</v>
      </c>
      <c r="J37" s="49">
        <f>'2'!D44</f>
        <v>37.659639644162034</v>
      </c>
      <c r="K37" s="59">
        <f>'2'!D47</f>
        <v>27.86</v>
      </c>
      <c r="L37" s="60"/>
    </row>
    <row r="38" spans="2:12" x14ac:dyDescent="0.3">
      <c r="B38" s="5">
        <v>3</v>
      </c>
      <c r="C38" s="58" t="s">
        <v>52</v>
      </c>
      <c r="D38" s="58"/>
      <c r="E38" s="58"/>
      <c r="F38" s="5">
        <f>'2'!E10</f>
        <v>10</v>
      </c>
      <c r="G38" s="61">
        <f>'2'!E8</f>
        <v>4.5</v>
      </c>
      <c r="H38" s="62"/>
      <c r="I38" s="49">
        <f>'2'!E46</f>
        <v>6.78</v>
      </c>
      <c r="J38" s="49">
        <f>'2'!E44</f>
        <v>67.775580959491663</v>
      </c>
      <c r="K38" s="59">
        <f>'2'!E47</f>
        <v>25.09</v>
      </c>
      <c r="L38" s="60"/>
    </row>
    <row r="39" spans="2:12" ht="15.6" customHeight="1" x14ac:dyDescent="0.3">
      <c r="B39" s="5">
        <v>4</v>
      </c>
      <c r="C39" s="58" t="s">
        <v>53</v>
      </c>
      <c r="D39" s="58"/>
      <c r="E39" s="58"/>
      <c r="F39" s="5">
        <f>'2'!F10</f>
        <v>12</v>
      </c>
      <c r="G39" s="61">
        <f>'2'!F8</f>
        <v>1</v>
      </c>
      <c r="H39" s="58"/>
      <c r="I39" s="49">
        <f>'2'!F46</f>
        <v>1.51</v>
      </c>
      <c r="J39" s="49">
        <f>'2'!F44</f>
        <v>18.082220389197776</v>
      </c>
      <c r="K39" s="59">
        <f>'2'!F47</f>
        <v>5.59</v>
      </c>
      <c r="L39" s="96"/>
    </row>
    <row r="40" spans="2:12" ht="15.6" customHeight="1" x14ac:dyDescent="0.3">
      <c r="B40" s="5">
        <v>5</v>
      </c>
      <c r="C40" s="58" t="s">
        <v>54</v>
      </c>
      <c r="D40" s="58"/>
      <c r="E40" s="58"/>
      <c r="F40" s="5">
        <f>'2'!G10</f>
        <v>20</v>
      </c>
      <c r="G40" s="61">
        <f>'2'!G8</f>
        <v>3.5</v>
      </c>
      <c r="H40" s="58"/>
      <c r="I40" s="49">
        <f>'2'!G46</f>
        <v>5.27</v>
      </c>
      <c r="J40" s="49">
        <f>'2'!G44</f>
        <v>105.43522060365369</v>
      </c>
      <c r="K40" s="59">
        <f>'2'!G47</f>
        <v>19.5</v>
      </c>
      <c r="L40" s="96"/>
    </row>
    <row r="41" spans="2:12" x14ac:dyDescent="0.3">
      <c r="B41" s="5">
        <v>6</v>
      </c>
      <c r="C41" s="58" t="s">
        <v>55</v>
      </c>
      <c r="D41" s="58"/>
      <c r="E41" s="58"/>
      <c r="F41" s="5">
        <f>'2'!H10</f>
        <v>13</v>
      </c>
      <c r="G41" s="61">
        <f>'2'!H8</f>
        <v>19.076923076922998</v>
      </c>
      <c r="H41" s="58"/>
      <c r="I41" s="49">
        <f>'2'!H46</f>
        <v>28.73</v>
      </c>
      <c r="J41" s="49">
        <f>'2'!H44</f>
        <v>373.51050771008727</v>
      </c>
      <c r="K41" s="59">
        <f>'2'!H47</f>
        <v>106.3</v>
      </c>
      <c r="L41" s="97"/>
    </row>
    <row r="42" spans="2:12" ht="18" customHeight="1" x14ac:dyDescent="0.3">
      <c r="B42" s="50">
        <v>7</v>
      </c>
      <c r="C42" s="58" t="s">
        <v>56</v>
      </c>
      <c r="D42" s="58"/>
      <c r="E42" s="58"/>
      <c r="F42" s="5">
        <f>'2'!I10</f>
        <v>120</v>
      </c>
      <c r="G42" s="61">
        <f>'2'!I8</f>
        <v>3.4</v>
      </c>
      <c r="H42" s="58"/>
      <c r="I42" s="49">
        <f>'2'!I46</f>
        <v>5.12</v>
      </c>
      <c r="J42" s="49">
        <f>'2'!I44</f>
        <v>614.48467723272438</v>
      </c>
      <c r="K42" s="59">
        <f>'2'!I47</f>
        <v>18.940000000000001</v>
      </c>
      <c r="L42" s="98"/>
    </row>
    <row r="43" spans="2:12" ht="18" customHeight="1" x14ac:dyDescent="0.3">
      <c r="B43" s="50">
        <v>8</v>
      </c>
      <c r="C43" s="58" t="s">
        <v>57</v>
      </c>
      <c r="D43" s="58"/>
      <c r="E43" s="58"/>
      <c r="F43" s="5">
        <f>'2'!J10</f>
        <v>5</v>
      </c>
      <c r="G43" s="61">
        <f>'2'!J8</f>
        <v>12.8</v>
      </c>
      <c r="H43" s="58"/>
      <c r="I43" s="49">
        <f>'2'!J46</f>
        <v>19.28</v>
      </c>
      <c r="J43" s="49">
        <f>'2'!J44</f>
        <v>96.394110409054804</v>
      </c>
      <c r="K43" s="59">
        <f>'2'!J47</f>
        <v>71.34</v>
      </c>
      <c r="L43" s="98"/>
    </row>
    <row r="44" spans="2:12" ht="18" customHeight="1" x14ac:dyDescent="0.3">
      <c r="B44" s="50">
        <v>9</v>
      </c>
      <c r="C44" s="58" t="s">
        <v>58</v>
      </c>
      <c r="D44" s="58"/>
      <c r="E44" s="58"/>
      <c r="F44" s="5">
        <f>'2'!K10</f>
        <v>150</v>
      </c>
      <c r="G44" s="61">
        <f>'2'!K8</f>
        <v>6.51</v>
      </c>
      <c r="H44" s="58"/>
      <c r="I44" s="49">
        <f>'2'!K46</f>
        <v>9.86</v>
      </c>
      <c r="J44" s="49">
        <f>'2'!K44</f>
        <v>1479.515648558769</v>
      </c>
      <c r="K44" s="59">
        <f>'2'!K47</f>
        <v>36.479999999999997</v>
      </c>
      <c r="L44" s="98"/>
    </row>
    <row r="45" spans="2:12" ht="18" customHeight="1" x14ac:dyDescent="0.35">
      <c r="B45" s="99" t="s">
        <v>37</v>
      </c>
      <c r="C45" s="100"/>
      <c r="D45" s="100"/>
      <c r="E45" s="100"/>
      <c r="F45" s="51">
        <f>SUM(F36:F44)</f>
        <v>345</v>
      </c>
      <c r="G45" s="35"/>
      <c r="H45" s="35"/>
      <c r="I45" s="35"/>
      <c r="J45" s="52">
        <f>SUM(J36:J44)</f>
        <v>2853.1017011377999</v>
      </c>
      <c r="K45" s="35"/>
      <c r="L45" s="35"/>
    </row>
    <row r="46" spans="2:12" ht="18" customHeight="1" x14ac:dyDescent="0.35">
      <c r="B46" s="57" t="s">
        <v>59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spans="2:12" ht="18" customHeight="1" x14ac:dyDescent="0.35">
      <c r="B47" s="57" t="s">
        <v>60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spans="2:12" ht="18" customHeight="1" x14ac:dyDescent="0.35">
      <c r="B48" s="57" t="s">
        <v>61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2:13" ht="18" customHeight="1" x14ac:dyDescent="0.35">
      <c r="B49" s="57" t="s">
        <v>62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0" spans="2:13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2:13" ht="9" customHeight="1" x14ac:dyDescent="0.3">
      <c r="B51" s="55"/>
      <c r="C51" s="55"/>
      <c r="E51" s="55"/>
      <c r="F51" s="55"/>
      <c r="G51" s="55"/>
      <c r="H51" s="55"/>
      <c r="I51" s="55"/>
      <c r="J51" s="55"/>
      <c r="K51" s="55"/>
      <c r="L51" s="55"/>
      <c r="M51" s="55"/>
    </row>
    <row r="52" spans="2:13" ht="31.8" customHeight="1" x14ac:dyDescent="0.5">
      <c r="B52" s="55"/>
      <c r="C52" s="55"/>
      <c r="D52" s="74" t="s">
        <v>0</v>
      </c>
      <c r="E52" s="74"/>
      <c r="F52" s="74"/>
      <c r="G52" s="74"/>
      <c r="H52" s="74"/>
      <c r="I52" s="74"/>
      <c r="J52" s="74"/>
      <c r="K52" s="74"/>
      <c r="L52" s="74"/>
      <c r="M52" s="74"/>
    </row>
    <row r="53" spans="2:13" ht="21" customHeight="1" x14ac:dyDescent="0.5">
      <c r="B53" s="55"/>
      <c r="C53" s="55"/>
      <c r="D53" s="77" t="s">
        <v>63</v>
      </c>
      <c r="E53" s="77"/>
      <c r="F53" s="77"/>
      <c r="G53" s="77"/>
      <c r="H53" s="77"/>
      <c r="I53" s="77"/>
    </row>
    <row r="54" spans="2:13" x14ac:dyDescent="0.3">
      <c r="B54" s="55"/>
      <c r="C54" s="55"/>
    </row>
    <row r="55" spans="2:13" x14ac:dyDescent="0.3">
      <c r="B55" s="55"/>
      <c r="C55" s="55"/>
    </row>
    <row r="56" spans="2:13" ht="21" customHeight="1" x14ac:dyDescent="0.4">
      <c r="B56" s="70" t="s">
        <v>64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</row>
    <row r="58" spans="2:13" x14ac:dyDescent="0.3">
      <c r="B58" s="54" t="s">
        <v>65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2:13" x14ac:dyDescent="0.3">
      <c r="B59" s="54" t="s">
        <v>66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</row>
    <row r="60" spans="2:13" x14ac:dyDescent="0.3">
      <c r="B60" s="56" t="s">
        <v>67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 spans="2:13" x14ac:dyDescent="0.3">
      <c r="B61" s="54" t="s">
        <v>68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2:13" x14ac:dyDescent="0.3">
      <c r="B62" s="54" t="s">
        <v>69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</row>
    <row r="63" spans="2:13" x14ac:dyDescent="0.3">
      <c r="B63" s="56" t="s">
        <v>70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spans="2:13" x14ac:dyDescent="0.3">
      <c r="B64" s="54" t="s">
        <v>71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spans="2:12" x14ac:dyDescent="0.3">
      <c r="B65" s="54" t="s">
        <v>72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</row>
    <row r="66" spans="2:12" x14ac:dyDescent="0.3">
      <c r="B66" s="54" t="s">
        <v>73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</row>
    <row r="67" spans="2:12" x14ac:dyDescent="0.3">
      <c r="B67" s="54" t="s">
        <v>74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</row>
    <row r="68" spans="2:12" x14ac:dyDescent="0.3">
      <c r="B68" s="54" t="s">
        <v>75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</row>
    <row r="69" spans="2:12" x14ac:dyDescent="0.3">
      <c r="B69" s="54" t="s">
        <v>76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</row>
    <row r="70" spans="2:12" x14ac:dyDescent="0.3">
      <c r="B70" s="54" t="s">
        <v>77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</row>
    <row r="71" spans="2:12" x14ac:dyDescent="0.3">
      <c r="B71" s="54" t="s">
        <v>78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</row>
    <row r="72" spans="2:12" x14ac:dyDescent="0.3">
      <c r="B72" s="54" t="s">
        <v>79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</row>
    <row r="73" spans="2:12" x14ac:dyDescent="0.3">
      <c r="B73" s="54" t="s">
        <v>80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</row>
    <row r="74" spans="2:12" x14ac:dyDescent="0.3">
      <c r="B74" s="54" t="s">
        <v>81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spans="2:12" x14ac:dyDescent="0.3">
      <c r="B75" s="53" t="s">
        <v>82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</row>
    <row r="76" spans="2:12" x14ac:dyDescent="0.3">
      <c r="B76" s="54" t="s">
        <v>83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spans="2:12" x14ac:dyDescent="0.3">
      <c r="B77" s="53" t="s">
        <v>84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</row>
    <row r="78" spans="2:12" x14ac:dyDescent="0.3">
      <c r="B78" s="54" t="s">
        <v>85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2:12" x14ac:dyDescent="0.3">
      <c r="B79" s="54" t="s">
        <v>86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</row>
    <row r="80" spans="2:12" x14ac:dyDescent="0.3">
      <c r="B80" s="54" t="s">
        <v>87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</row>
    <row r="81" spans="1:12" x14ac:dyDescent="0.3">
      <c r="B81" s="54" t="s">
        <v>88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</row>
    <row r="82" spans="1:12" x14ac:dyDescent="0.3">
      <c r="B82" s="54" t="s">
        <v>89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spans="1:12" x14ac:dyDescent="0.3">
      <c r="A83" s="30"/>
      <c r="B83" s="65" t="s">
        <v>90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</row>
    <row r="84" spans="1:12" x14ac:dyDescent="0.3">
      <c r="A84" s="30"/>
      <c r="B84" s="54" t="s">
        <v>91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spans="1:12" x14ac:dyDescent="0.3">
      <c r="A85" s="30"/>
      <c r="B85" s="65" t="s">
        <v>92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</row>
    <row r="87" spans="1:12" x14ac:dyDescent="0.3">
      <c r="C87" s="55"/>
      <c r="D87" s="55"/>
      <c r="E87" s="55"/>
      <c r="F87" s="55"/>
      <c r="G87" s="55"/>
      <c r="H87" s="55"/>
      <c r="I87" s="55"/>
    </row>
    <row r="88" spans="1:12" x14ac:dyDescent="0.3">
      <c r="C88" s="55"/>
      <c r="D88" s="55"/>
      <c r="E88" s="55"/>
      <c r="F88" s="55"/>
      <c r="G88" s="55"/>
      <c r="H88" s="55"/>
      <c r="I88" s="55"/>
    </row>
    <row r="89" spans="1:12" x14ac:dyDescent="0.3">
      <c r="C89" s="55"/>
      <c r="D89" s="55"/>
      <c r="E89" s="55"/>
      <c r="F89" s="55"/>
      <c r="G89" s="55"/>
      <c r="H89" s="55"/>
      <c r="I89" s="55"/>
    </row>
    <row r="90" spans="1:12" x14ac:dyDescent="0.3">
      <c r="C90" s="55"/>
      <c r="D90" s="55"/>
      <c r="E90" s="55"/>
      <c r="F90" s="55"/>
      <c r="G90" s="55"/>
      <c r="H90" s="55"/>
      <c r="I90" s="55"/>
    </row>
    <row r="91" spans="1:12" x14ac:dyDescent="0.3">
      <c r="C91" s="55"/>
      <c r="D91" s="55"/>
      <c r="E91" s="55"/>
      <c r="F91" s="55"/>
      <c r="G91" s="55"/>
      <c r="H91" s="55"/>
      <c r="I91" s="55"/>
    </row>
    <row r="92" spans="1:12" x14ac:dyDescent="0.3">
      <c r="C92" s="55"/>
      <c r="D92" s="55"/>
      <c r="E92" s="55"/>
      <c r="F92" s="55"/>
      <c r="G92" s="55"/>
      <c r="H92" s="55"/>
      <c r="I92" s="55"/>
    </row>
    <row r="93" spans="1:12" x14ac:dyDescent="0.3">
      <c r="C93" s="55"/>
      <c r="D93" s="55"/>
      <c r="E93" s="55"/>
      <c r="F93" s="55"/>
      <c r="G93" s="55"/>
      <c r="H93" s="55"/>
      <c r="I93" s="55"/>
    </row>
    <row r="94" spans="1:12" ht="15.6" customHeight="1" x14ac:dyDescent="0.3">
      <c r="C94" s="55"/>
      <c r="D94" s="55"/>
      <c r="E94" s="55"/>
      <c r="F94" s="55"/>
      <c r="G94" s="55"/>
      <c r="H94" s="55"/>
      <c r="I94" s="55"/>
    </row>
    <row r="95" spans="1:12" ht="15.6" customHeight="1" x14ac:dyDescent="0.3">
      <c r="C95" s="55"/>
      <c r="D95" s="55"/>
      <c r="E95" s="55"/>
      <c r="F95" s="55"/>
      <c r="G95" s="55"/>
      <c r="H95" s="55"/>
      <c r="I95" s="55"/>
    </row>
    <row r="96" spans="1:12" x14ac:dyDescent="0.3">
      <c r="C96" s="55"/>
      <c r="D96" s="55"/>
      <c r="E96" s="55"/>
      <c r="F96" s="55"/>
      <c r="G96" s="55"/>
      <c r="H96" s="55"/>
      <c r="I96" s="55"/>
    </row>
    <row r="102" ht="15.6" customHeight="1" x14ac:dyDescent="0.3"/>
  </sheetData>
  <sheetProtection formatCells="0" formatColumns="0" formatRows="0" insertColumns="0" insertRows="0" insertHyperlinks="0" deleteColumns="0" deleteRows="0" selectLockedCells="1" sort="0" autoFilter="0" pivotTables="0"/>
  <mergeCells count="108">
    <mergeCell ref="C44:E44"/>
    <mergeCell ref="G44:H44"/>
    <mergeCell ref="K44:L44"/>
    <mergeCell ref="B45:E45"/>
    <mergeCell ref="C8:C9"/>
    <mergeCell ref="K41:L41"/>
    <mergeCell ref="C42:E42"/>
    <mergeCell ref="G42:H42"/>
    <mergeCell ref="K42:L42"/>
    <mergeCell ref="C43:E43"/>
    <mergeCell ref="G43:H43"/>
    <mergeCell ref="K43:L43"/>
    <mergeCell ref="K35:L35"/>
    <mergeCell ref="B25:I25"/>
    <mergeCell ref="B24:I24"/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7:I96"/>
    <mergeCell ref="A1:L1"/>
    <mergeCell ref="E2:L2"/>
    <mergeCell ref="D53:I53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8:L48"/>
    <mergeCell ref="B46:L46"/>
    <mergeCell ref="F11:G11"/>
    <mergeCell ref="B31:J31"/>
    <mergeCell ref="B26:I26"/>
    <mergeCell ref="B12:L12"/>
    <mergeCell ref="B13:J13"/>
    <mergeCell ref="B14:J14"/>
    <mergeCell ref="B16:J16"/>
    <mergeCell ref="B15:J15"/>
    <mergeCell ref="B27:I27"/>
    <mergeCell ref="B23:I23"/>
    <mergeCell ref="B20:I20"/>
    <mergeCell ref="B21:I21"/>
    <mergeCell ref="B22:I22"/>
    <mergeCell ref="B56:L56"/>
    <mergeCell ref="B47:L47"/>
    <mergeCell ref="G38:H38"/>
    <mergeCell ref="K37:L37"/>
    <mergeCell ref="C37:E37"/>
    <mergeCell ref="D52:J52"/>
    <mergeCell ref="K52:M52"/>
    <mergeCell ref="E51:M51"/>
    <mergeCell ref="C39:E39"/>
    <mergeCell ref="G39:H39"/>
    <mergeCell ref="K39:L39"/>
    <mergeCell ref="C40:E40"/>
    <mergeCell ref="G40:H40"/>
    <mergeCell ref="K40:L40"/>
    <mergeCell ref="C41:E41"/>
    <mergeCell ref="G41:H41"/>
    <mergeCell ref="B82:L82"/>
    <mergeCell ref="B77:L77"/>
    <mergeCell ref="B78:L78"/>
    <mergeCell ref="B79:L79"/>
    <mergeCell ref="B80:L80"/>
    <mergeCell ref="B81:L81"/>
    <mergeCell ref="B85:L85"/>
    <mergeCell ref="B68:L68"/>
    <mergeCell ref="B69:L69"/>
    <mergeCell ref="B70:L70"/>
    <mergeCell ref="B61:L61"/>
    <mergeCell ref="B62:L62"/>
    <mergeCell ref="B63:L63"/>
    <mergeCell ref="B64:L64"/>
    <mergeCell ref="B65:L65"/>
    <mergeCell ref="B66:L66"/>
    <mergeCell ref="B67:L67"/>
    <mergeCell ref="B72:L72"/>
    <mergeCell ref="B73:L73"/>
    <mergeCell ref="B74:L74"/>
    <mergeCell ref="B84:L84"/>
    <mergeCell ref="B83:L83"/>
    <mergeCell ref="B75:L75"/>
    <mergeCell ref="B76:L76"/>
    <mergeCell ref="A7:C7"/>
    <mergeCell ref="I7:L7"/>
    <mergeCell ref="B60:L60"/>
    <mergeCell ref="B49:L49"/>
    <mergeCell ref="C38:E38"/>
    <mergeCell ref="K38:L38"/>
    <mergeCell ref="B58:L58"/>
    <mergeCell ref="B71:L71"/>
    <mergeCell ref="B59:L59"/>
    <mergeCell ref="G37:H37"/>
    <mergeCell ref="J11:L11"/>
    <mergeCell ref="B51:C55"/>
    <mergeCell ref="B19:F19"/>
    <mergeCell ref="C35:E35"/>
  </mergeCells>
  <dataValidations count="5">
    <dataValidation type="custom" showInputMessage="1" showErrorMessage="1" errorTitle="VERIFICAR NÚMERO DE TELEFONO" error="Verifica que tenga 9 digitos sin espacio" sqref="J8" xr:uid="{00000000-0002-0000-0000-000000000000}">
      <formula1>(LEN(C11)=9)</formula1>
    </dataValidation>
    <dataValidation type="custom" showInputMessage="1" showErrorMessage="1" errorTitle="VERIFICAR NÚMERO DE TELEFONO" error="Verifica que tenga 9 digitos sin espacio" sqref="K8" xr:uid="{00000000-0002-0000-0000-000001000000}">
      <formula1>(LEN(C11)=9)</formula1>
    </dataValidation>
    <dataValidation type="custom" showInputMessage="1" showErrorMessage="1" errorTitle="VERIFICAR NÚMERO DE TELEFONO" error="Verifica que tenga 9 digitos sin espacio" sqref="L8" xr:uid="{00000000-0002-0000-0000-000002000000}">
      <formula1>(LEN(C11)=9)</formula1>
    </dataValidation>
    <dataValidation type="custom" showInputMessage="1" showErrorMessage="1" errorTitle="INGRESO APELLIDOS" error="Ingresa los apellidos del cliente" sqref="C10" xr:uid="{00000000-0002-0000-0000-000003000000}">
      <formula1>C9&lt;&gt;0</formula1>
    </dataValidation>
    <dataValidation type="custom" showInputMessage="1" showErrorMessage="1" errorTitle="INGRESA EL NOMBRE" error="Ingresa al menos 1 nombre del cliente" sqref="C9" xr:uid="{00000000-0002-0000-0000-000004000000}">
      <formula1>C8&lt;&gt;0</formula1>
    </dataValidation>
  </dataValidations>
  <printOptions horizontalCentered="1"/>
  <pageMargins left="0.23622047244093999" right="0.23622047244093999" top="0.74803149606299002" bottom="0.74803149606299002" header="0.31496062992126" footer="0.31496062992126"/>
  <pageSetup paperSize="9" scale="71" fitToWidth="2" fitToHeight="2" orientation="portrait"/>
  <rowBreaks count="1" manualBreakCount="1">
    <brk id="5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47"/>
  <sheetViews>
    <sheetView workbookViewId="0">
      <selection activeCell="L44" sqref="L44"/>
    </sheetView>
  </sheetViews>
  <sheetFormatPr baseColWidth="10" defaultColWidth="8.88671875" defaultRowHeight="14.4" x14ac:dyDescent="0.3"/>
  <cols>
    <col min="2" max="2" width="24.6640625" bestFit="1" customWidth="1"/>
    <col min="3" max="3" width="34.109375" bestFit="1" customWidth="1"/>
    <col min="4" max="4" width="38.88671875" bestFit="1" customWidth="1"/>
    <col min="5" max="6" width="40" bestFit="1" customWidth="1"/>
    <col min="7" max="7" width="25.88671875" bestFit="1" customWidth="1"/>
    <col min="8" max="8" width="31.6640625" bestFit="1" customWidth="1"/>
    <col min="9" max="9" width="25.88671875" bestFit="1" customWidth="1"/>
    <col min="10" max="10" width="40" bestFit="1" customWidth="1"/>
    <col min="11" max="11" width="20" bestFit="1" customWidth="1"/>
    <col min="12" max="12" width="12.88671875" bestFit="1" customWidth="1"/>
  </cols>
  <sheetData>
    <row r="3" spans="2:16" x14ac:dyDescent="0.3">
      <c r="B3" s="103" t="s">
        <v>93</v>
      </c>
      <c r="C3" s="104"/>
      <c r="D3" s="104"/>
      <c r="E3" s="104"/>
      <c r="F3" s="104"/>
      <c r="G3" s="104"/>
    </row>
    <row r="5" spans="2:16" x14ac:dyDescent="0.3">
      <c r="B5" s="39" t="s">
        <v>94</v>
      </c>
      <c r="C5" s="41" t="s">
        <v>50</v>
      </c>
      <c r="D5" s="41" t="s">
        <v>51</v>
      </c>
      <c r="E5" s="41" t="s">
        <v>52</v>
      </c>
      <c r="F5" s="41" t="s">
        <v>53</v>
      </c>
      <c r="G5" s="41" t="s">
        <v>54</v>
      </c>
      <c r="H5" s="41" t="s">
        <v>55</v>
      </c>
      <c r="I5" s="41" t="s">
        <v>56</v>
      </c>
      <c r="J5" s="41" t="s">
        <v>57</v>
      </c>
      <c r="K5" s="41" t="s">
        <v>58</v>
      </c>
      <c r="L5" s="41" t="s">
        <v>95</v>
      </c>
    </row>
    <row r="6" spans="2:16" ht="28.8" x14ac:dyDescent="0.3">
      <c r="B6" s="36" t="s">
        <v>96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43"/>
      <c r="O6" s="37" t="s">
        <v>97</v>
      </c>
      <c r="P6" s="37" t="s">
        <v>98</v>
      </c>
    </row>
    <row r="7" spans="2:16" x14ac:dyDescent="0.3">
      <c r="B7" s="36" t="s">
        <v>99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44">
        <v>1.24</v>
      </c>
      <c r="O7" s="38" t="s">
        <v>19</v>
      </c>
      <c r="P7" s="38">
        <v>375</v>
      </c>
    </row>
    <row r="8" spans="2:16" x14ac:dyDescent="0.3">
      <c r="B8" s="36" t="s">
        <v>100</v>
      </c>
      <c r="C8" s="42">
        <v>4</v>
      </c>
      <c r="D8" s="42">
        <v>5</v>
      </c>
      <c r="E8" s="42">
        <v>4.5</v>
      </c>
      <c r="F8" s="42">
        <v>1</v>
      </c>
      <c r="G8" s="42">
        <v>3.5</v>
      </c>
      <c r="H8" s="42">
        <v>19.076923076922998</v>
      </c>
      <c r="I8" s="42">
        <v>3.4</v>
      </c>
      <c r="J8" s="42">
        <v>12.8</v>
      </c>
      <c r="K8" s="42">
        <v>6.51</v>
      </c>
      <c r="L8" s="36"/>
    </row>
    <row r="9" spans="2:16" x14ac:dyDescent="0.3">
      <c r="B9" s="40" t="s">
        <v>101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36"/>
    </row>
    <row r="10" spans="2:16" x14ac:dyDescent="0.3">
      <c r="B10" s="36" t="s">
        <v>102</v>
      </c>
      <c r="C10" s="36">
        <v>10</v>
      </c>
      <c r="D10" s="36">
        <v>5</v>
      </c>
      <c r="E10" s="36">
        <v>10</v>
      </c>
      <c r="F10" s="36">
        <v>12</v>
      </c>
      <c r="G10" s="36">
        <v>20</v>
      </c>
      <c r="H10" s="36">
        <v>13</v>
      </c>
      <c r="I10" s="36">
        <v>120</v>
      </c>
      <c r="J10" s="36">
        <v>5</v>
      </c>
      <c r="K10" s="36">
        <v>150</v>
      </c>
      <c r="L10" s="36">
        <f>SUM(C10:K10)</f>
        <v>345</v>
      </c>
    </row>
    <row r="11" spans="2:16" x14ac:dyDescent="0.3">
      <c r="B11" s="36" t="s">
        <v>103</v>
      </c>
      <c r="C11" s="42">
        <f t="shared" ref="C11:K11" si="0">C8*C10</f>
        <v>40</v>
      </c>
      <c r="D11" s="42">
        <f t="shared" si="0"/>
        <v>25</v>
      </c>
      <c r="E11" s="42">
        <f t="shared" si="0"/>
        <v>45</v>
      </c>
      <c r="F11" s="42">
        <f t="shared" si="0"/>
        <v>12</v>
      </c>
      <c r="G11" s="42">
        <f t="shared" si="0"/>
        <v>70</v>
      </c>
      <c r="H11" s="42">
        <f t="shared" si="0"/>
        <v>247.99999999999898</v>
      </c>
      <c r="I11" s="42">
        <f t="shared" si="0"/>
        <v>408</v>
      </c>
      <c r="J11" s="42">
        <f t="shared" si="0"/>
        <v>64</v>
      </c>
      <c r="K11" s="42">
        <f t="shared" si="0"/>
        <v>976.5</v>
      </c>
      <c r="L11" s="47">
        <f>SUM(C11:K11)</f>
        <v>1888.4999999999991</v>
      </c>
    </row>
    <row r="12" spans="2:16" x14ac:dyDescent="0.3">
      <c r="B12" s="40" t="s">
        <v>104</v>
      </c>
      <c r="C12" s="42">
        <f t="shared" ref="C12:K12" si="1">C10*C9</f>
        <v>0</v>
      </c>
      <c r="D12" s="42">
        <f t="shared" si="1"/>
        <v>0</v>
      </c>
      <c r="E12" s="42">
        <f t="shared" si="1"/>
        <v>0</v>
      </c>
      <c r="F12" s="42">
        <f t="shared" si="1"/>
        <v>0</v>
      </c>
      <c r="G12" s="42">
        <f t="shared" si="1"/>
        <v>0</v>
      </c>
      <c r="H12" s="42">
        <f t="shared" si="1"/>
        <v>0</v>
      </c>
      <c r="I12" s="42">
        <f t="shared" si="1"/>
        <v>0</v>
      </c>
      <c r="J12" s="42">
        <f t="shared" si="1"/>
        <v>0</v>
      </c>
      <c r="K12" s="42">
        <f t="shared" si="1"/>
        <v>0</v>
      </c>
      <c r="L12" s="47">
        <f>SUM(C12:K12)</f>
        <v>0</v>
      </c>
    </row>
    <row r="13" spans="2:16" x14ac:dyDescent="0.3">
      <c r="B13" s="36" t="s">
        <v>105</v>
      </c>
      <c r="C13" s="45">
        <f>C11/L11</f>
        <v>2.1180831347630404E-2</v>
      </c>
      <c r="D13" s="45">
        <f>D11/L11</f>
        <v>1.3238019592269003E-2</v>
      </c>
      <c r="E13" s="45">
        <f>E11/L11</f>
        <v>2.3828435266084205E-2</v>
      </c>
      <c r="F13" s="45">
        <f>F11/L11</f>
        <v>6.3542494042891215E-3</v>
      </c>
      <c r="G13" s="45">
        <f>G11/L11</f>
        <v>3.7066454858353207E-2</v>
      </c>
      <c r="H13" s="45">
        <f>H11/L11</f>
        <v>0.13132115435530797</v>
      </c>
      <c r="I13" s="45">
        <f>I11/L11</f>
        <v>0.21604447974583013</v>
      </c>
      <c r="J13" s="45">
        <f>J11/L11</f>
        <v>3.3889330156208645E-2</v>
      </c>
      <c r="K13" s="45">
        <f>K11/L11</f>
        <v>0.5170770452740272</v>
      </c>
      <c r="L13" s="36"/>
    </row>
    <row r="14" spans="2:16" x14ac:dyDescent="0.3">
      <c r="B14" s="36" t="s">
        <v>106</v>
      </c>
      <c r="C14" s="42">
        <f>ROUNDUP(L14*C13,2)</f>
        <v>5.91</v>
      </c>
      <c r="D14" s="42">
        <f>ROUNDUP(L14*D13,2)</f>
        <v>3.6999999999999997</v>
      </c>
      <c r="E14" s="42">
        <f>ROUNDUP(L14*E13,2)</f>
        <v>6.6499999999999995</v>
      </c>
      <c r="F14" s="42">
        <f>ROUNDUP(L14*F13,2)</f>
        <v>1.78</v>
      </c>
      <c r="G14" s="42">
        <f>ROUNDUP(L14*G13,2)</f>
        <v>10.35</v>
      </c>
      <c r="H14" s="42">
        <f>ROUNDUP(L14*H13,2)</f>
        <v>36.64</v>
      </c>
      <c r="I14" s="42">
        <f>ROUNDUP(L14*I13,2)</f>
        <v>60.28</v>
      </c>
      <c r="J14" s="42">
        <f>ROUNDUP(L14*J13,2)</f>
        <v>9.4599999999999991</v>
      </c>
      <c r="K14" s="42">
        <f>ROUNDUP(L14*K13,2)</f>
        <v>144.26999999999998</v>
      </c>
      <c r="L14" s="47">
        <f>IF(L7&lt;1, ROUNDUP(P7*0.6, 0), ROUNDUP(P7*0.6*L7, 0))</f>
        <v>279</v>
      </c>
    </row>
    <row r="15" spans="2:16" x14ac:dyDescent="0.3">
      <c r="B15" s="36" t="s">
        <v>107</v>
      </c>
      <c r="C15" s="42">
        <f t="shared" ref="C15:K15" si="2">ROUNDUP(C11+C14,2)</f>
        <v>45.91</v>
      </c>
      <c r="D15" s="42">
        <f t="shared" si="2"/>
        <v>28.7</v>
      </c>
      <c r="E15" s="42">
        <f t="shared" si="2"/>
        <v>51.65</v>
      </c>
      <c r="F15" s="42">
        <f t="shared" si="2"/>
        <v>13.78</v>
      </c>
      <c r="G15" s="42">
        <f t="shared" si="2"/>
        <v>80.349999999999994</v>
      </c>
      <c r="H15" s="42">
        <f t="shared" si="2"/>
        <v>284.64</v>
      </c>
      <c r="I15" s="42">
        <f t="shared" si="2"/>
        <v>468.28</v>
      </c>
      <c r="J15" s="42">
        <f t="shared" si="2"/>
        <v>73.459999999999994</v>
      </c>
      <c r="K15" s="42">
        <f t="shared" si="2"/>
        <v>1120.77</v>
      </c>
      <c r="L15" s="47">
        <f>SUM(C15:K15)</f>
        <v>2167.54</v>
      </c>
    </row>
    <row r="16" spans="2:16" x14ac:dyDescent="0.3">
      <c r="B16" s="40" t="s">
        <v>108</v>
      </c>
      <c r="C16" s="42">
        <f t="shared" ref="C16:K16" si="3">ROUNDUP(C12+C14,2)</f>
        <v>5.91</v>
      </c>
      <c r="D16" s="42">
        <f t="shared" si="3"/>
        <v>3.7</v>
      </c>
      <c r="E16" s="42">
        <f t="shared" si="3"/>
        <v>6.65</v>
      </c>
      <c r="F16" s="42">
        <f t="shared" si="3"/>
        <v>1.78</v>
      </c>
      <c r="G16" s="42">
        <f t="shared" si="3"/>
        <v>10.35</v>
      </c>
      <c r="H16" s="42">
        <f t="shared" si="3"/>
        <v>36.64</v>
      </c>
      <c r="I16" s="42">
        <f t="shared" si="3"/>
        <v>60.28</v>
      </c>
      <c r="J16" s="42">
        <f t="shared" si="3"/>
        <v>9.4600000000000009</v>
      </c>
      <c r="K16" s="42">
        <f t="shared" si="3"/>
        <v>144.27000000000001</v>
      </c>
      <c r="L16" s="47">
        <f>SUM(C16:K16)</f>
        <v>279.04000000000002</v>
      </c>
    </row>
    <row r="17" spans="2:12" x14ac:dyDescent="0.3">
      <c r="B17" s="36" t="s">
        <v>109</v>
      </c>
      <c r="C17" s="42">
        <f>IF(L15&gt;5000,ROUND(100*C13,2),ROUND(50*C13,2))</f>
        <v>1.06</v>
      </c>
      <c r="D17" s="42">
        <f>IF(L15&gt;5000,ROUND(100*D13,2),ROUND(50*D13,2))</f>
        <v>0.66</v>
      </c>
      <c r="E17" s="42">
        <f>IF(L15&gt;5000,ROUND(100*E13,2),ROUND(50*E13,2))</f>
        <v>1.19</v>
      </c>
      <c r="F17" s="42">
        <f>IF(L15&gt;5000,ROUND(100*F13,2),ROUND(50*F13,2))</f>
        <v>0.32</v>
      </c>
      <c r="G17" s="42">
        <f>IF(L15&gt;5000,ROUND(100*G13,2),ROUND(50*G13,2))</f>
        <v>1.85</v>
      </c>
      <c r="H17" s="42">
        <f>IF(L15&gt;5000,ROUND(100*H13,2),ROUND(50*H13,2))</f>
        <v>6.57</v>
      </c>
      <c r="I17" s="42">
        <f>IF(L15&gt;5000,ROUND(100*I13,2),ROUND(50*I13,2))</f>
        <v>10.8</v>
      </c>
      <c r="J17" s="42">
        <f>IF(L15&gt;5000,ROUND(100*J13,2),ROUND(50*J13,2))</f>
        <v>1.69</v>
      </c>
      <c r="K17" s="42">
        <f>IF(L15&gt;5000,ROUND(100*K13,2),ROUND(50*K13,2))</f>
        <v>25.85</v>
      </c>
      <c r="L17" s="47">
        <f>SUM(C17:K17)</f>
        <v>49.990000000000009</v>
      </c>
    </row>
    <row r="18" spans="2:12" x14ac:dyDescent="0.3">
      <c r="B18" s="36" t="s">
        <v>110</v>
      </c>
      <c r="C18" s="42">
        <f t="shared" ref="C18:K18" si="4">ROUNDUP(C15+C17,2)</f>
        <v>46.97</v>
      </c>
      <c r="D18" s="42">
        <f t="shared" si="4"/>
        <v>29.36</v>
      </c>
      <c r="E18" s="42">
        <f t="shared" si="4"/>
        <v>52.84</v>
      </c>
      <c r="F18" s="42">
        <f t="shared" si="4"/>
        <v>14.1</v>
      </c>
      <c r="G18" s="42">
        <f t="shared" si="4"/>
        <v>82.2</v>
      </c>
      <c r="H18" s="42">
        <f t="shared" si="4"/>
        <v>291.20999999999998</v>
      </c>
      <c r="I18" s="42">
        <f t="shared" si="4"/>
        <v>479.08</v>
      </c>
      <c r="J18" s="42">
        <f t="shared" si="4"/>
        <v>75.150000000000006</v>
      </c>
      <c r="K18" s="42">
        <f t="shared" si="4"/>
        <v>1146.6199999999999</v>
      </c>
      <c r="L18" s="47">
        <f>SUM(C18:K18)</f>
        <v>2217.5299999999997</v>
      </c>
    </row>
    <row r="19" spans="2:12" x14ac:dyDescent="0.3">
      <c r="B19" s="40" t="s">
        <v>111</v>
      </c>
      <c r="C19" s="42">
        <f t="shared" ref="C19:K19" si="5">ROUNDUP(C16+C17,2)</f>
        <v>6.97</v>
      </c>
      <c r="D19" s="42">
        <f t="shared" si="5"/>
        <v>4.3600000000000003</v>
      </c>
      <c r="E19" s="42">
        <f t="shared" si="5"/>
        <v>7.84</v>
      </c>
      <c r="F19" s="42">
        <f t="shared" si="5"/>
        <v>2.1</v>
      </c>
      <c r="G19" s="42">
        <f t="shared" si="5"/>
        <v>12.2</v>
      </c>
      <c r="H19" s="42">
        <f t="shared" si="5"/>
        <v>43.21</v>
      </c>
      <c r="I19" s="42">
        <f t="shared" si="5"/>
        <v>71.08</v>
      </c>
      <c r="J19" s="42">
        <f t="shared" si="5"/>
        <v>11.15</v>
      </c>
      <c r="K19" s="42">
        <f t="shared" si="5"/>
        <v>170.12</v>
      </c>
      <c r="L19" s="47">
        <f>SUM(C19:K19)</f>
        <v>329.03</v>
      </c>
    </row>
    <row r="23" spans="2:12" x14ac:dyDescent="0.3">
      <c r="B23" s="103" t="s">
        <v>112</v>
      </c>
      <c r="C23" s="104"/>
      <c r="D23" s="104"/>
      <c r="E23" s="104"/>
    </row>
    <row r="26" spans="2:12" x14ac:dyDescent="0.3">
      <c r="B26" s="36" t="s">
        <v>113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f t="shared" ref="L26:L31" si="6">SUM(C26:K26)</f>
        <v>0</v>
      </c>
    </row>
    <row r="27" spans="2:12" x14ac:dyDescent="0.3"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6.3E-3</v>
      </c>
      <c r="L27" s="45">
        <f t="shared" si="6"/>
        <v>6.3E-3</v>
      </c>
    </row>
    <row r="28" spans="2:12" x14ac:dyDescent="0.3">
      <c r="B28" s="36" t="s">
        <v>114</v>
      </c>
      <c r="C28" s="42">
        <f t="shared" ref="C28:K28" si="7">MAX(C19,C18)*C27</f>
        <v>0</v>
      </c>
      <c r="D28" s="42">
        <f t="shared" si="7"/>
        <v>0</v>
      </c>
      <c r="E28" s="42">
        <f t="shared" si="7"/>
        <v>0</v>
      </c>
      <c r="F28" s="42">
        <f t="shared" si="7"/>
        <v>0</v>
      </c>
      <c r="G28" s="42">
        <f t="shared" si="7"/>
        <v>0</v>
      </c>
      <c r="H28" s="42">
        <f t="shared" si="7"/>
        <v>0</v>
      </c>
      <c r="I28" s="42">
        <f t="shared" si="7"/>
        <v>0</v>
      </c>
      <c r="J28" s="42">
        <f t="shared" si="7"/>
        <v>0</v>
      </c>
      <c r="K28" s="42">
        <f t="shared" si="7"/>
        <v>7.2237059999999991</v>
      </c>
      <c r="L28" s="42">
        <f t="shared" si="6"/>
        <v>7.2237059999999991</v>
      </c>
    </row>
    <row r="29" spans="2:12" x14ac:dyDescent="0.3">
      <c r="B29" s="36" t="s">
        <v>32</v>
      </c>
      <c r="C29" s="42">
        <f t="shared" ref="C29:K29" si="8">0.16*(MAX(C19,C18)+C28)</f>
        <v>7.5152000000000001</v>
      </c>
      <c r="D29" s="42">
        <f t="shared" si="8"/>
        <v>4.6976000000000004</v>
      </c>
      <c r="E29" s="42">
        <f t="shared" si="8"/>
        <v>8.4544000000000015</v>
      </c>
      <c r="F29" s="42">
        <f t="shared" si="8"/>
        <v>2.2559999999999998</v>
      </c>
      <c r="G29" s="42">
        <f t="shared" si="8"/>
        <v>13.152000000000001</v>
      </c>
      <c r="H29" s="42">
        <f t="shared" si="8"/>
        <v>46.593599999999995</v>
      </c>
      <c r="I29" s="42">
        <f t="shared" si="8"/>
        <v>76.652799999999999</v>
      </c>
      <c r="J29" s="42">
        <f t="shared" si="8"/>
        <v>12.024000000000001</v>
      </c>
      <c r="K29" s="42">
        <f t="shared" si="8"/>
        <v>184.61499296</v>
      </c>
      <c r="L29" s="42">
        <f t="shared" si="6"/>
        <v>355.96059295999999</v>
      </c>
    </row>
    <row r="30" spans="2:12" x14ac:dyDescent="0.3">
      <c r="B30" s="36" t="s">
        <v>33</v>
      </c>
      <c r="C30" s="42">
        <f t="shared" ref="C30:K30" si="9">0.02*(MAX(C19,C18)+C28)</f>
        <v>0.93940000000000001</v>
      </c>
      <c r="D30" s="42">
        <f t="shared" si="9"/>
        <v>0.58720000000000006</v>
      </c>
      <c r="E30" s="42">
        <f t="shared" si="9"/>
        <v>1.0568000000000002</v>
      </c>
      <c r="F30" s="42">
        <f t="shared" si="9"/>
        <v>0.28199999999999997</v>
      </c>
      <c r="G30" s="42">
        <f t="shared" si="9"/>
        <v>1.6440000000000001</v>
      </c>
      <c r="H30" s="42">
        <f t="shared" si="9"/>
        <v>5.8241999999999994</v>
      </c>
      <c r="I30" s="42">
        <f t="shared" si="9"/>
        <v>9.5815999999999999</v>
      </c>
      <c r="J30" s="42">
        <f t="shared" si="9"/>
        <v>1.5030000000000001</v>
      </c>
      <c r="K30" s="42">
        <f t="shared" si="9"/>
        <v>23.076874119999999</v>
      </c>
      <c r="L30" s="42">
        <f t="shared" si="6"/>
        <v>44.495074119999998</v>
      </c>
    </row>
    <row r="31" spans="2:12" x14ac:dyDescent="0.3">
      <c r="B31" s="36" t="s">
        <v>115</v>
      </c>
      <c r="C31" s="42">
        <f t="shared" ref="C31:K31" si="10">0.035*(MAX(C18,C19) +C28+C29+C30)</f>
        <v>1.9398610000000001</v>
      </c>
      <c r="D31" s="42">
        <f t="shared" si="10"/>
        <v>1.2125680000000003</v>
      </c>
      <c r="E31" s="42">
        <f t="shared" si="10"/>
        <v>2.1822920000000003</v>
      </c>
      <c r="F31" s="42">
        <f t="shared" si="10"/>
        <v>0.58233000000000001</v>
      </c>
      <c r="G31" s="42">
        <f t="shared" si="10"/>
        <v>3.3948600000000004</v>
      </c>
      <c r="H31" s="42">
        <f t="shared" si="10"/>
        <v>12.026973</v>
      </c>
      <c r="I31" s="42">
        <f t="shared" si="10"/>
        <v>19.786004000000002</v>
      </c>
      <c r="J31" s="42">
        <f t="shared" si="10"/>
        <v>3.1036950000000005</v>
      </c>
      <c r="K31" s="42">
        <f t="shared" si="10"/>
        <v>47.653745057799995</v>
      </c>
      <c r="L31" s="42">
        <f t="shared" si="6"/>
        <v>91.882328057799995</v>
      </c>
    </row>
    <row r="32" spans="2:12" x14ac:dyDescent="0.3">
      <c r="B32" s="36" t="s">
        <v>37</v>
      </c>
      <c r="C32" s="42">
        <f t="shared" ref="C32:L32" si="11">SUM(C28:C31)</f>
        <v>10.394461</v>
      </c>
      <c r="D32" s="42">
        <f t="shared" si="11"/>
        <v>6.4973680000000007</v>
      </c>
      <c r="E32" s="42">
        <f t="shared" si="11"/>
        <v>11.693492000000003</v>
      </c>
      <c r="F32" s="42">
        <f t="shared" si="11"/>
        <v>3.12033</v>
      </c>
      <c r="G32" s="42">
        <f t="shared" si="11"/>
        <v>18.190860000000001</v>
      </c>
      <c r="H32" s="42">
        <f t="shared" si="11"/>
        <v>64.444772999999998</v>
      </c>
      <c r="I32" s="42">
        <f t="shared" si="11"/>
        <v>106.020404</v>
      </c>
      <c r="J32" s="42">
        <f t="shared" si="11"/>
        <v>16.630695000000003</v>
      </c>
      <c r="K32" s="42">
        <f t="shared" si="11"/>
        <v>262.5693181378</v>
      </c>
      <c r="L32" s="42">
        <f t="shared" si="11"/>
        <v>499.56170113780001</v>
      </c>
    </row>
    <row r="37" spans="2:12" x14ac:dyDescent="0.3">
      <c r="B37" s="103" t="s">
        <v>116</v>
      </c>
      <c r="C37" s="104"/>
      <c r="D37" s="104"/>
      <c r="E37" s="104"/>
    </row>
    <row r="40" spans="2:12" x14ac:dyDescent="0.3">
      <c r="B40" s="36" t="s">
        <v>117</v>
      </c>
      <c r="C40" s="42">
        <f>C13*L40</f>
        <v>3.9396346306592553</v>
      </c>
      <c r="D40" s="42">
        <f>D13*L40</f>
        <v>2.4622716441620347</v>
      </c>
      <c r="E40" s="42">
        <f>E13*L40</f>
        <v>4.4320889594916624</v>
      </c>
      <c r="F40" s="42">
        <f>F13*L40</f>
        <v>1.1818903891977766</v>
      </c>
      <c r="G40" s="42">
        <f>G13*L40</f>
        <v>6.8943606036536966</v>
      </c>
      <c r="H40" s="42">
        <f>H13*L40</f>
        <v>24.425734710087283</v>
      </c>
      <c r="I40" s="42">
        <f>I13*L40</f>
        <v>40.184273232724408</v>
      </c>
      <c r="J40" s="42">
        <f>J13*L40</f>
        <v>6.303415409054808</v>
      </c>
      <c r="K40" s="42">
        <f>K13*L40</f>
        <v>96.176330420969066</v>
      </c>
      <c r="L40" s="42">
        <f>IF(L7&lt;1, ROUNDUP(P7*0.4, 0), ROUNDUP(P7*0.4*L7, 0))</f>
        <v>186</v>
      </c>
    </row>
    <row r="41" spans="2:12" x14ac:dyDescent="0.3">
      <c r="B41" s="105"/>
      <c r="C41" s="105"/>
      <c r="D41" s="105"/>
      <c r="E41" s="105"/>
    </row>
    <row r="43" spans="2:12" x14ac:dyDescent="0.3">
      <c r="B43" s="36" t="s">
        <v>117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6" t="s">
        <v>56</v>
      </c>
      <c r="J43" s="36" t="s">
        <v>57</v>
      </c>
      <c r="K43" s="36" t="s">
        <v>58</v>
      </c>
      <c r="L43" s="36" t="s">
        <v>95</v>
      </c>
    </row>
    <row r="44" spans="2:12" x14ac:dyDescent="0.3">
      <c r="B44" s="36" t="s">
        <v>118</v>
      </c>
      <c r="C44" s="42">
        <f t="shared" ref="C44:K44" si="12">SUM(C15,C40,C32,(C26*C10))</f>
        <v>60.244095630659253</v>
      </c>
      <c r="D44" s="42">
        <f t="shared" si="12"/>
        <v>37.659639644162034</v>
      </c>
      <c r="E44" s="42">
        <f t="shared" si="12"/>
        <v>67.775580959491663</v>
      </c>
      <c r="F44" s="42">
        <f t="shared" si="12"/>
        <v>18.082220389197776</v>
      </c>
      <c r="G44" s="42">
        <f t="shared" si="12"/>
        <v>105.43522060365369</v>
      </c>
      <c r="H44" s="42">
        <f t="shared" si="12"/>
        <v>373.51050771008727</v>
      </c>
      <c r="I44" s="42">
        <f t="shared" si="12"/>
        <v>614.48467723272438</v>
      </c>
      <c r="J44" s="42">
        <f t="shared" si="12"/>
        <v>96.394110409054804</v>
      </c>
      <c r="K44" s="42">
        <f t="shared" si="12"/>
        <v>1479.515648558769</v>
      </c>
      <c r="L44" s="42">
        <f>SUM(C44:K44)</f>
        <v>2853.1017011377999</v>
      </c>
    </row>
    <row r="45" spans="2:12" x14ac:dyDescent="0.3">
      <c r="B45" s="36" t="s">
        <v>46</v>
      </c>
      <c r="C45" s="36">
        <v>10</v>
      </c>
      <c r="D45" s="36">
        <v>5</v>
      </c>
      <c r="E45" s="36">
        <v>10</v>
      </c>
      <c r="F45" s="36">
        <v>12</v>
      </c>
      <c r="G45" s="36">
        <v>20</v>
      </c>
      <c r="H45" s="36">
        <v>13</v>
      </c>
      <c r="I45" s="36">
        <v>120</v>
      </c>
      <c r="J45" s="36">
        <v>5</v>
      </c>
      <c r="K45" s="36">
        <v>150</v>
      </c>
      <c r="L45" s="36"/>
    </row>
    <row r="46" spans="2:12" x14ac:dyDescent="0.3">
      <c r="B46" s="36" t="s">
        <v>119</v>
      </c>
      <c r="C46" s="42">
        <f t="shared" ref="C46:K46" si="13">ROUND(SUM(C44/C45),2)</f>
        <v>6.02</v>
      </c>
      <c r="D46" s="42">
        <f t="shared" si="13"/>
        <v>7.53</v>
      </c>
      <c r="E46" s="42">
        <f t="shared" si="13"/>
        <v>6.78</v>
      </c>
      <c r="F46" s="42">
        <f t="shared" si="13"/>
        <v>1.51</v>
      </c>
      <c r="G46" s="42">
        <f t="shared" si="13"/>
        <v>5.27</v>
      </c>
      <c r="H46" s="42">
        <f t="shared" si="13"/>
        <v>28.73</v>
      </c>
      <c r="I46" s="42">
        <f t="shared" si="13"/>
        <v>5.12</v>
      </c>
      <c r="J46" s="42">
        <f t="shared" si="13"/>
        <v>19.28</v>
      </c>
      <c r="K46" s="42">
        <f t="shared" si="13"/>
        <v>9.86</v>
      </c>
      <c r="L46" s="36"/>
    </row>
    <row r="47" spans="2:12" x14ac:dyDescent="0.3">
      <c r="B47" s="36" t="s">
        <v>120</v>
      </c>
      <c r="C47" s="46">
        <f t="shared" ref="C47:K47" si="14">ROUND(C46*3.7,2)</f>
        <v>22.27</v>
      </c>
      <c r="D47" s="46">
        <f t="shared" si="14"/>
        <v>27.86</v>
      </c>
      <c r="E47" s="46">
        <f t="shared" si="14"/>
        <v>25.09</v>
      </c>
      <c r="F47" s="46">
        <f t="shared" si="14"/>
        <v>5.59</v>
      </c>
      <c r="G47" s="46">
        <f t="shared" si="14"/>
        <v>19.5</v>
      </c>
      <c r="H47" s="46">
        <f t="shared" si="14"/>
        <v>106.3</v>
      </c>
      <c r="I47" s="46">
        <f t="shared" si="14"/>
        <v>18.940000000000001</v>
      </c>
      <c r="J47" s="46">
        <f t="shared" si="14"/>
        <v>71.34</v>
      </c>
      <c r="K47" s="46">
        <f t="shared" si="14"/>
        <v>36.479999999999997</v>
      </c>
      <c r="L47" s="36"/>
    </row>
  </sheetData>
  <sheetProtection formatCells="0" formatColumns="0" formatRows="0" insertColumns="0" insertRows="0" insertHyperlinks="0" deleteColumns="0" deleteRows="0" sort="0" autoFilter="0" pivotTables="0"/>
  <mergeCells count="4">
    <mergeCell ref="B3:G3"/>
    <mergeCell ref="B23:E23"/>
    <mergeCell ref="B37:E37"/>
    <mergeCell ref="B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Manager/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Francis Cristofer Torres</cp:lastModifiedBy>
  <dcterms:created xsi:type="dcterms:W3CDTF">2022-02-19T20:43:21Z</dcterms:created>
  <dcterms:modified xsi:type="dcterms:W3CDTF">2025-03-11T17:07:05Z</dcterms:modified>
  <cp:category/>
</cp:coreProperties>
</file>