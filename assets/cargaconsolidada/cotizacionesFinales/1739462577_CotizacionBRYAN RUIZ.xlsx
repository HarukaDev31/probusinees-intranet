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<sst xmlns="http://schemas.openxmlformats.org/spreadsheetml/2006/main" uniqueCount="120">
  <si>
    <t>PRO MUNDO COMEX S.A.C.</t>
  </si>
  <si>
    <t xml:space="preserve">         RUC: 20612452432</t>
  </si>
  <si>
    <t>COTIZACION N002</t>
  </si>
  <si>
    <t>NOMBRE:</t>
  </si>
  <si>
    <t>BRYAN RUIZ</t>
  </si>
  <si>
    <t>SERVICIO:</t>
  </si>
  <si>
    <t>CARGA CONSOLIDADA</t>
  </si>
  <si>
    <t>N° CAJAS:</t>
  </si>
  <si>
    <t>APELLIDO:</t>
  </si>
  <si>
    <t>FECHA:</t>
  </si>
  <si>
    <t>13/02/2025</t>
  </si>
  <si>
    <t>PESO:</t>
  </si>
  <si>
    <t>DNI/RUC:</t>
  </si>
  <si>
    <t>ORIGEN:</t>
  </si>
  <si>
    <t>CHINA</t>
  </si>
  <si>
    <t>MEDIDA:</t>
  </si>
  <si>
    <t>TELEFONO:</t>
  </si>
  <si>
    <t>929 610 511</t>
  </si>
  <si>
    <t>CLIENTE:</t>
  </si>
  <si>
    <t>NUEVO</t>
  </si>
  <si>
    <t>VOLUMEN: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</si>
  <si>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</si>
  <si>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</si>
  <si>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</si>
  <si>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</si>
  <si>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</si>
  <si>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</si>
  <si>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</si>
  <si>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</si>
  <si>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</si>
  <si>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</si>
  <si>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</si>
  <si>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</si>
  <si>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</si>
  <si>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</si>
  <si>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</si>
  <si>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</si>
  <si>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</si>
  <si>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</si>
  <si>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</si>
  <si>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</si>
  <si>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</si>
  <si>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</si>
  <si>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</si>
  <si>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</si>
  <si>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</si>
  <si>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</si>
  <si>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</si>
  <si>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</si>
  <si>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hola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</si>
  <si>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</si>
  <si>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</si>
  <si>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</si>
  <si>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</si>
  <si>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</si>
  <si>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</si>
  <si>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</si>
  <si>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</si>
  <si>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</si>
  <si>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</si>
  <si>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</si>
  <si>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</si>
  <si>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</si>
  <si>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</si>
  <si>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</si>
  <si>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</si>
  <si>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</si>
  <si>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</si>
  <si>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</si>
  <si>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</si>
  <si>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</si>
  <si>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</si>
  <si>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</si>
  <si>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</si>
  <si>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</si>
  <si>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</si>
  <si>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</si>
  <si>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</si>
  <si>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</si>
  <si>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</si>
  <si>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</si>
  <si>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</si>
  <si>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</si>
  <si>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</si>
  <si>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</si>
  <si>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</si>
  <si>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</si>
  <si>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N.Proveedor</t>
  </si>
  <si>
    <t>chino</t>
  </si>
  <si>
    <t>N° Cajas</t>
  </si>
  <si>
    <t>Peso(KG)</t>
  </si>
  <si>
    <t>Medida</t>
  </si>
  <si>
    <t>VOL. X PROVEEDOR</t>
  </si>
  <si>
    <t>Nombres</t>
  </si>
  <si>
    <t>Cantidad Cajones</t>
  </si>
  <si>
    <t>Peso</t>
  </si>
  <si>
    <t>TOTAL CBM</t>
  </si>
  <si>
    <t>Valor Unitario</t>
  </si>
  <si>
    <t>Valoracion</t>
  </si>
  <si>
    <t>Cantidad</t>
  </si>
  <si>
    <t>Valor FOB</t>
  </si>
  <si>
    <t>Distribucion %</t>
  </si>
  <si>
    <t>Flete</t>
  </si>
  <si>
    <t>Valor CFR</t>
  </si>
  <si>
    <t>Seguro</t>
  </si>
  <si>
    <t>Valor CIF</t>
  </si>
  <si>
    <t>Tributos Aplicables</t>
  </si>
  <si>
    <t>ANTIDUMPING</t>
  </si>
  <si>
    <t>=</t>
  </si>
  <si>
    <t>AD VALOREM</t>
  </si>
  <si>
    <t>IGB 16%</t>
  </si>
  <si>
    <t>IPM 2%</t>
  </si>
  <si>
    <t>PERCEPCION</t>
  </si>
  <si>
    <t>TC</t>
  </si>
  <si>
    <t>COSTOS DESTINOS</t>
  </si>
  <si>
    <t>ITEM</t>
  </si>
  <si>
    <t>COSTO TOTAL DE IMPORTACIÓN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</si>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</sst>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&quot;S/.&quot; #,##0.00_-"/>
  </numFmts>
  <fonts count="1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164" fillId="3" borderId="7" applyFont="0" applyNumberFormat="1" applyFill="1" applyBorder="1" applyAlignment="0">
      <alignment horizontal="general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8" applyFont="1" applyNumberFormat="0" applyFill="1" applyBorder="1" applyAlignment="1">
      <alignment horizontal="center" vertical="bottom" textRotation="0" wrapText="false" shrinkToFit="false"/>
    </xf>
    <xf xfId="0" fontId="2" numFmtId="166" fillId="3" borderId="8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0" fillId="3" borderId="9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9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2" numFmtId="0" fillId="3" borderId="8" applyFont="1" applyNumberFormat="0" applyFill="1" applyBorder="1" applyAlignment="0">
      <alignment horizontal="general" vertical="bottom" textRotation="0" wrapText="false" shrinkToFit="false"/>
    </xf>
    <xf xfId="0" fontId="2" numFmtId="0" fillId="3" borderId="10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8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0" numFmtId="164" fillId="3" borderId="7" applyFont="0" applyNumberFormat="1" applyFill="1" applyBorder="1" applyAlignment="1">
      <alignment horizontal="center" vertical="bottom" textRotation="0" wrapText="false" shrinkToFit="false"/>
    </xf>
    <xf xfId="0" fontId="0" numFmtId="164" fillId="3" borderId="11" applyFont="0" applyNumberFormat="1" applyFill="1" applyBorder="1" applyAlignment="1">
      <alignment horizontal="center" vertical="bottom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7" numFmtId="0" fillId="9" borderId="0" applyFont="1" applyNumberFormat="0" applyFill="1" applyBorder="0" applyAlignment="1">
      <alignment horizontal="center" vertical="bottom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  <xf xfId="0" fontId="0" numFmtId="10" fillId="2" borderId="0" applyFont="0" applyNumberFormat="1" applyFill="0" applyBorder="0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0"/>
  <sheetViews>
    <sheetView tabSelected="1" workbookViewId="0" zoomScale="85" zoomScaleNormal="85" showGridLines="false" showRowColHeaders="1">
      <selection activeCell="K39" sqref="K39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3" customHeight="1" ht="18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3" customHeight="1" ht="18">
      <c r="B2" s="48"/>
      <c r="C2" s="48"/>
      <c r="E2" s="53"/>
      <c r="F2" s="53"/>
      <c r="G2" s="53"/>
      <c r="H2" s="53"/>
      <c r="I2" s="53"/>
      <c r="J2" s="53"/>
      <c r="K2" s="53"/>
      <c r="L2" s="53"/>
    </row>
    <row r="3" spans="1:13" customHeight="1" ht="25.8">
      <c r="B3" s="48"/>
      <c r="C3" s="48"/>
      <c r="E3" s="64" t="s">
        <v>0</v>
      </c>
      <c r="F3" s="64"/>
      <c r="G3" s="64"/>
      <c r="H3" s="64"/>
      <c r="I3" s="64"/>
      <c r="J3" s="64"/>
    </row>
    <row r="4" spans="1:13" customHeight="1" ht="25.8">
      <c r="B4" s="48"/>
      <c r="C4" s="48"/>
      <c r="E4" s="65" t="s">
        <v>1</v>
      </c>
      <c r="F4" s="65"/>
      <c r="G4" s="65"/>
      <c r="H4" s="65"/>
      <c r="I4" s="65"/>
      <c r="J4" s="65"/>
      <c r="K4" s="15"/>
    </row>
    <row r="5" spans="1:13">
      <c r="B5" s="48"/>
      <c r="C5" s="48"/>
      <c r="D5" s="46"/>
    </row>
    <row r="6" spans="1:13">
      <c r="B6" s="48"/>
      <c r="C6" s="48"/>
      <c r="D6" s="29"/>
      <c r="F6" s="29"/>
      <c r="G6" s="29"/>
      <c r="H6" s="29"/>
    </row>
    <row r="7" spans="1:13">
      <c r="A7" s="48"/>
      <c r="B7" s="48"/>
      <c r="C7" s="48"/>
      <c r="E7" s="50" t="s">
        <v>2</v>
      </c>
      <c r="F7" s="50"/>
      <c r="G7" s="50"/>
      <c r="I7" s="48"/>
      <c r="J7" s="48"/>
      <c r="K7" s="48"/>
      <c r="L7" s="48"/>
    </row>
    <row r="8" spans="1:13">
      <c r="B8" s="10" t="s">
        <v>3</v>
      </c>
      <c r="C8" s="19" t="s">
        <v>4</v>
      </c>
      <c r="D8" s="44"/>
      <c r="E8" s="26" t="s">
        <v>5</v>
      </c>
      <c r="F8" s="55" t="s">
        <v>6</v>
      </c>
      <c r="G8" s="56"/>
      <c r="H8" s="43"/>
      <c r="I8" s="1" t="s">
        <v>7</v>
      </c>
      <c r="J8" s="74">
        <v>83</v>
      </c>
      <c r="K8" s="74"/>
      <c r="L8" s="74"/>
    </row>
    <row r="9" spans="1:13">
      <c r="B9" s="10" t="s">
        <v>8</v>
      </c>
      <c r="C9" s="19"/>
      <c r="D9" s="44"/>
      <c r="E9" s="27" t="s">
        <v>9</v>
      </c>
      <c r="F9" s="51" t="s">
        <v>10</v>
      </c>
      <c r="G9" s="52"/>
      <c r="H9" s="43"/>
      <c r="I9" s="1" t="s">
        <v>11</v>
      </c>
      <c r="J9" s="49">
        <v>1370.4</v>
      </c>
      <c r="K9" s="49"/>
      <c r="L9" s="49"/>
    </row>
    <row r="10" spans="1:13">
      <c r="B10" s="10" t="s">
        <v>12</v>
      </c>
      <c r="C10" s="19">
        <v>47976981</v>
      </c>
      <c r="D10" s="44"/>
      <c r="E10" s="32" t="s">
        <v>13</v>
      </c>
      <c r="F10" s="53" t="s">
        <v>14</v>
      </c>
      <c r="G10" s="54"/>
      <c r="H10" s="43"/>
      <c r="I10" s="1" t="s">
        <v>15</v>
      </c>
      <c r="J10" s="75">
        <v>0</v>
      </c>
      <c r="K10" s="75"/>
      <c r="L10" s="75"/>
    </row>
    <row r="11" spans="1:13">
      <c r="B11" s="10" t="s">
        <v>16</v>
      </c>
      <c r="C11" s="20" t="s">
        <v>17</v>
      </c>
      <c r="D11" s="45"/>
      <c r="E11" s="28" t="s">
        <v>18</v>
      </c>
      <c r="F11" s="58" t="s">
        <v>19</v>
      </c>
      <c r="G11" s="77"/>
      <c r="H11" s="43"/>
      <c r="I11" s="1" t="s">
        <v>20</v>
      </c>
      <c r="J11" s="85">
        <v>0</v>
      </c>
      <c r="K11" s="85"/>
      <c r="L11" s="85"/>
    </row>
    <row r="12" spans="1:13"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</row>
    <row r="13" spans="1:13">
      <c r="B13" s="78" t="s">
        <v>21</v>
      </c>
      <c r="C13" s="78"/>
      <c r="D13" s="78"/>
      <c r="E13" s="78"/>
      <c r="F13" s="78"/>
      <c r="G13" s="78"/>
      <c r="H13" s="78"/>
      <c r="I13" s="78"/>
      <c r="J13" s="78"/>
      <c r="K13" s="12" t="s">
        <v>22</v>
      </c>
      <c r="L13" s="12" t="s">
        <v>23</v>
      </c>
    </row>
    <row r="14" spans="1:13">
      <c r="B14" s="79" t="s">
        <v>24</v>
      </c>
      <c r="C14" s="79"/>
      <c r="D14" s="79"/>
      <c r="E14" s="79"/>
      <c r="F14" s="79"/>
      <c r="G14" s="79"/>
      <c r="H14" s="79"/>
      <c r="I14" s="79"/>
      <c r="J14" s="79"/>
      <c r="K14" s="17" t="str">
        <f>'2'!D18</f>
        <v>0</v>
      </c>
      <c r="L14" s="11" t="s">
        <v>25</v>
      </c>
    </row>
    <row r="15" spans="1:13">
      <c r="B15" s="80" t="s">
        <v>26</v>
      </c>
      <c r="C15" s="80"/>
      <c r="D15" s="80"/>
      <c r="E15" s="80"/>
      <c r="F15" s="80"/>
      <c r="G15" s="80"/>
      <c r="H15" s="80"/>
      <c r="I15" s="80"/>
      <c r="J15" s="80"/>
      <c r="K15" s="18" t="str">
        <f>'2'!D20 + '2'!D22</f>
        <v>0</v>
      </c>
      <c r="L15" s="14" t="s">
        <v>25</v>
      </c>
    </row>
    <row r="16" spans="1:13">
      <c r="B16" s="61" t="s">
        <v>27</v>
      </c>
      <c r="C16" s="61"/>
      <c r="D16" s="61"/>
      <c r="E16" s="61"/>
      <c r="F16" s="61"/>
      <c r="G16" s="61"/>
      <c r="H16" s="61"/>
      <c r="I16" s="61"/>
      <c r="J16" s="61"/>
      <c r="K16" s="17" t="str">
        <f>SUM(K14:K15)</f>
        <v>0</v>
      </c>
      <c r="L16" s="11" t="s">
        <v>25</v>
      </c>
    </row>
    <row r="17" spans="1:1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3">
      <c r="B19" s="81" t="s">
        <v>28</v>
      </c>
      <c r="C19" s="81"/>
      <c r="D19" s="81"/>
      <c r="E19" s="81"/>
      <c r="F19" s="81"/>
      <c r="G19" s="21"/>
      <c r="H19" s="21"/>
      <c r="I19" s="21"/>
      <c r="J19" s="12" t="s">
        <v>29</v>
      </c>
      <c r="K19" s="12" t="s">
        <v>22</v>
      </c>
      <c r="L19" s="12" t="s">
        <v>23</v>
      </c>
    </row>
    <row r="20" spans="1:13">
      <c r="B20" s="59" t="s">
        <v>30</v>
      </c>
      <c r="C20" s="59"/>
      <c r="D20" s="59"/>
      <c r="E20" s="59"/>
      <c r="F20" s="59"/>
      <c r="G20" s="59"/>
      <c r="H20" s="59"/>
      <c r="I20" s="59"/>
      <c r="J20" s="23" t="str">
        <f>MAX('2'!C33:C33)</f>
        <v>0</v>
      </c>
      <c r="K20" s="17" t="str">
        <f>'2'!D34</f>
        <v>0</v>
      </c>
      <c r="L20" s="11" t="s">
        <v>25</v>
      </c>
    </row>
    <row r="21" spans="1:13">
      <c r="B21" s="59" t="s">
        <v>31</v>
      </c>
      <c r="C21" s="59"/>
      <c r="D21" s="59"/>
      <c r="E21" s="59"/>
      <c r="F21" s="59"/>
      <c r="G21" s="59"/>
      <c r="H21" s="59"/>
      <c r="I21" s="59"/>
      <c r="J21" s="23">
        <v>0.16</v>
      </c>
      <c r="K21" s="17" t="str">
        <f>'2'!D35</f>
        <v>0</v>
      </c>
      <c r="L21" s="11" t="s">
        <v>25</v>
      </c>
    </row>
    <row r="22" spans="1:13">
      <c r="B22" s="58" t="s">
        <v>32</v>
      </c>
      <c r="C22" s="58"/>
      <c r="D22" s="58"/>
      <c r="E22" s="58"/>
      <c r="F22" s="58"/>
      <c r="G22" s="58"/>
      <c r="H22" s="58"/>
      <c r="I22" s="58"/>
      <c r="J22" s="23">
        <v>0.02</v>
      </c>
      <c r="K22" s="17" t="str">
        <f>'2'!D36</f>
        <v>0</v>
      </c>
      <c r="L22" s="11" t="s">
        <v>25</v>
      </c>
    </row>
    <row r="23" spans="1:13">
      <c r="B23" s="61" t="s">
        <v>33</v>
      </c>
      <c r="C23" s="61"/>
      <c r="D23" s="61"/>
      <c r="E23" s="61"/>
      <c r="F23" s="61"/>
      <c r="G23" s="61"/>
      <c r="H23" s="61"/>
      <c r="I23" s="61"/>
      <c r="J23" s="36"/>
      <c r="K23" s="37" t="str">
        <f>SUM(K20:K22)</f>
        <v>0</v>
      </c>
      <c r="L23" s="36" t="s">
        <v>25</v>
      </c>
    </row>
    <row r="24" spans="1:13">
      <c r="B24" s="59"/>
      <c r="C24" s="59"/>
      <c r="D24" s="59"/>
      <c r="E24" s="59"/>
      <c r="F24" s="59"/>
      <c r="G24" s="59"/>
      <c r="H24" s="59"/>
      <c r="I24" s="59"/>
      <c r="J24" s="2"/>
      <c r="K24" s="13"/>
      <c r="L24" s="11"/>
    </row>
    <row r="25" spans="1:13">
      <c r="B25" s="58" t="s">
        <v>34</v>
      </c>
      <c r="C25" s="58"/>
      <c r="D25" s="58"/>
      <c r="E25" s="58"/>
      <c r="F25" s="58"/>
      <c r="G25" s="58"/>
      <c r="H25" s="58"/>
      <c r="I25" s="58"/>
      <c r="J25" s="24" t="s">
        <v>35</v>
      </c>
      <c r="K25" s="18" t="str">
        <f>'2'!D37</f>
        <v>0</v>
      </c>
      <c r="L25" s="14" t="s">
        <v>25</v>
      </c>
    </row>
    <row r="26" spans="1:13">
      <c r="B26" s="61" t="s">
        <v>36</v>
      </c>
      <c r="C26" s="61"/>
      <c r="D26" s="61"/>
      <c r="E26" s="61"/>
      <c r="F26" s="61"/>
      <c r="G26" s="61"/>
      <c r="H26" s="61"/>
      <c r="I26" s="61"/>
      <c r="K26" s="17" t="str">
        <f>K23+K25</f>
        <v>0</v>
      </c>
      <c r="L26" s="11" t="s">
        <v>25</v>
      </c>
    </row>
    <row r="27" spans="1:13">
      <c r="B27" s="53"/>
      <c r="C27" s="53"/>
      <c r="D27" s="53"/>
      <c r="E27" s="53"/>
      <c r="F27" s="53"/>
      <c r="G27" s="53"/>
      <c r="H27" s="53"/>
      <c r="I27" s="53"/>
    </row>
    <row r="28" spans="1:13" customHeight="1" ht="15.6">
      <c r="B28" s="62" t="s">
        <v>37</v>
      </c>
      <c r="C28" s="62"/>
      <c r="D28" s="62"/>
      <c r="E28" s="62"/>
      <c r="F28" s="62"/>
      <c r="G28" s="62"/>
      <c r="H28" s="62"/>
      <c r="I28" s="62"/>
      <c r="J28" s="62"/>
      <c r="K28" s="33" t="s">
        <v>22</v>
      </c>
      <c r="L28" s="33" t="s">
        <v>23</v>
      </c>
    </row>
    <row r="29" spans="1:13">
      <c r="B29" s="59" t="s">
        <v>38</v>
      </c>
      <c r="C29" s="59"/>
      <c r="D29" s="59"/>
      <c r="E29" s="59"/>
      <c r="F29" s="59"/>
      <c r="G29" s="59"/>
      <c r="H29" s="59"/>
      <c r="I29" s="59"/>
      <c r="J29" s="59"/>
      <c r="K29" s="17" t="str">
        <f>K14</f>
        <v>0</v>
      </c>
      <c r="L29" s="11" t="s">
        <v>25</v>
      </c>
    </row>
    <row r="30" spans="1:13">
      <c r="B30" s="59" t="s">
        <v>39</v>
      </c>
      <c r="C30" s="59"/>
      <c r="D30" s="59"/>
      <c r="E30" s="59"/>
      <c r="F30" s="59"/>
      <c r="G30" s="59"/>
      <c r="H30" s="59"/>
      <c r="I30" s="59"/>
      <c r="J30" s="59"/>
      <c r="K30" s="17" t="str">
        <f>'2'!D18+'2'!D45</f>
        <v>0</v>
      </c>
      <c r="L30" s="11" t="s">
        <v>25</v>
      </c>
    </row>
    <row r="31" spans="1:13">
      <c r="B31" s="58" t="s">
        <v>40</v>
      </c>
      <c r="C31" s="58"/>
      <c r="D31" s="58"/>
      <c r="E31" s="58"/>
      <c r="F31" s="58"/>
      <c r="G31" s="58"/>
      <c r="H31" s="58"/>
      <c r="I31" s="58"/>
      <c r="J31" s="58"/>
      <c r="K31" s="18" t="str">
        <f>K26</f>
        <v>0</v>
      </c>
      <c r="L31" s="14" t="s">
        <v>25</v>
      </c>
    </row>
    <row r="32" spans="1:13">
      <c r="B32" s="61" t="s">
        <v>41</v>
      </c>
      <c r="C32" s="61"/>
      <c r="D32" s="61"/>
      <c r="E32" s="61"/>
      <c r="F32" s="61"/>
      <c r="G32" s="61"/>
      <c r="H32" s="61"/>
      <c r="I32" s="61"/>
      <c r="J32" s="61"/>
      <c r="K32" s="17" t="str">
        <f>SUM(K29:K31)</f>
        <v>0</v>
      </c>
      <c r="L32" s="11" t="s">
        <v>25</v>
      </c>
    </row>
    <row r="33" spans="1:13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</row>
    <row r="34" spans="1:13">
      <c r="B34" s="71" t="s">
        <v>42</v>
      </c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3">
      <c r="B35" s="22" t="s">
        <v>43</v>
      </c>
      <c r="C35" s="66" t="s">
        <v>44</v>
      </c>
      <c r="D35" s="67"/>
      <c r="E35" s="68"/>
      <c r="F35" s="6" t="s">
        <v>45</v>
      </c>
      <c r="G35" s="66" t="s">
        <v>46</v>
      </c>
      <c r="H35" s="68"/>
      <c r="I35" s="5" t="s">
        <v>47</v>
      </c>
      <c r="J35" s="30" t="s">
        <v>36</v>
      </c>
      <c r="K35" s="57" t="s">
        <v>48</v>
      </c>
      <c r="L35" s="57"/>
    </row>
    <row r="36" spans="1:13">
      <c r="B36" s="7">
        <v>1</v>
      </c>
      <c r="C36" s="7" t="s">
        <v>49</v>
      </c>
      <c r="D36" s="7"/>
      <c r="E36" s="7"/>
      <c r="F36" s="7" t="str">
        <f>'2'!C17</f>
        <v>0</v>
      </c>
      <c r="G36" s="91" t="str">
        <f>'2'!C15</f>
        <v>0</v>
      </c>
      <c r="H36" s="8"/>
      <c r="I36" s="91" t="str">
        <f>'2'!C53</f>
        <v>0</v>
      </c>
      <c r="J36" s="91" t="str">
        <f>'2'!C51</f>
        <v>0</v>
      </c>
      <c r="K36" s="92" t="str">
        <f>'2'!C54</f>
        <v>0</v>
      </c>
      <c r="L36" s="57"/>
      <c r="M36" s="1"/>
    </row>
    <row r="37" spans="1:13">
      <c r="B37" s="22"/>
      <c r="C37" s="66"/>
      <c r="D37" s="30"/>
      <c r="E37" s="68"/>
      <c r="F37" s="6"/>
      <c r="G37" s="69"/>
      <c r="H37" s="70"/>
      <c r="I37" s="31"/>
      <c r="J37" s="31"/>
      <c r="K37" s="57"/>
      <c r="L37" s="57"/>
      <c r="M37" s="1"/>
    </row>
    <row r="38" spans="1:13">
      <c r="B38" s="11"/>
      <c r="C38" s="2"/>
      <c r="D38" s="2"/>
      <c r="E38" s="2"/>
      <c r="F38" s="2"/>
      <c r="G38" s="4"/>
      <c r="H38" s="4"/>
      <c r="I38" s="3"/>
      <c r="J38" s="3"/>
      <c r="K38" s="94"/>
      <c r="L38" s="93"/>
      <c r="M38" s="1"/>
    </row>
    <row r="39" spans="1:13" customHeight="1" ht="15.6">
      <c r="B39" s="25"/>
      <c r="C39" s="2"/>
      <c r="D39" s="2"/>
      <c r="E39" s="2"/>
      <c r="F39" s="16"/>
      <c r="G39" s="2"/>
      <c r="H39" s="2"/>
      <c r="I39" s="1"/>
      <c r="J39" s="35"/>
      <c r="K39" s="95"/>
      <c r="L39" s="39"/>
      <c r="M39" s="1"/>
    </row>
    <row r="40" spans="1:13" customHeight="1" ht="15.6">
      <c r="B40" s="25"/>
      <c r="C40" s="2"/>
      <c r="D40" s="2"/>
      <c r="E40" s="2"/>
      <c r="F40" s="16"/>
      <c r="G40" s="2"/>
      <c r="H40" s="2"/>
      <c r="J40" s="35"/>
      <c r="K40" s="38"/>
      <c r="L40" s="39"/>
    </row>
    <row r="41" spans="1:13">
      <c r="B41" s="9"/>
      <c r="C41" s="9"/>
      <c r="D41" s="9"/>
      <c r="E41" s="9"/>
      <c r="F41" s="9"/>
      <c r="G41" s="9"/>
      <c r="H41" s="9"/>
      <c r="I41" s="9"/>
      <c r="J41" s="9"/>
      <c r="K41" s="40"/>
      <c r="L41" s="41"/>
    </row>
    <row r="42" spans="1:13" customHeight="1" ht="18">
      <c r="B42" s="34" t="s">
        <v>50</v>
      </c>
      <c r="C42" s="9"/>
      <c r="D42" s="9"/>
      <c r="E42" s="9"/>
      <c r="F42" s="9"/>
      <c r="G42" s="9"/>
      <c r="H42" s="9"/>
      <c r="I42" s="9"/>
      <c r="J42" s="9"/>
      <c r="K42" s="9"/>
    </row>
    <row r="43" spans="1:13" customHeight="1" ht="18">
      <c r="B43" s="76" t="s">
        <v>51</v>
      </c>
      <c r="C43" s="76"/>
      <c r="D43" s="76"/>
      <c r="E43" s="76"/>
      <c r="F43" s="76"/>
      <c r="G43" s="76"/>
      <c r="H43" s="76"/>
      <c r="I43" s="76"/>
      <c r="J43" s="76"/>
      <c r="K43" s="76"/>
      <c r="L43" s="76"/>
    </row>
    <row r="44" spans="1:13" customHeight="1" ht="18">
      <c r="B44" s="76" t="s">
        <v>52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</row>
    <row r="45" spans="1:13" customHeight="1" ht="18">
      <c r="B45" s="76" t="s">
        <v>53</v>
      </c>
      <c r="C45" s="76"/>
      <c r="D45" s="76"/>
      <c r="E45" s="76"/>
      <c r="F45" s="76"/>
      <c r="G45" s="76"/>
      <c r="H45" s="76"/>
      <c r="I45" s="76"/>
      <c r="J45" s="76"/>
      <c r="K45" s="76"/>
      <c r="L45" s="76"/>
    </row>
    <row r="46" spans="1:13" customHeight="1" ht="18">
      <c r="B46" s="76" t="s">
        <v>54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</row>
    <row r="47" spans="1:13" customHeight="1" ht="18">
      <c r="B47" s="76" t="s">
        <v>55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</row>
    <row r="48" spans="1:13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3" customHeight="1" ht="9">
      <c r="B49" s="48"/>
      <c r="C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1:13" customHeight="1" ht="31.8">
      <c r="B50" s="48"/>
      <c r="C50" s="48"/>
      <c r="D50" s="47" t="s">
        <v>0</v>
      </c>
      <c r="E50" s="47"/>
      <c r="F50" s="47"/>
      <c r="G50" s="47"/>
      <c r="H50" s="47"/>
      <c r="I50" s="47"/>
      <c r="J50" s="47"/>
      <c r="K50" s="47"/>
      <c r="L50" s="47"/>
      <c r="M50" s="47"/>
    </row>
    <row r="51" spans="1:13" customHeight="1" ht="21">
      <c r="B51" s="48"/>
      <c r="C51" s="48"/>
      <c r="D51" s="63" t="s">
        <v>56</v>
      </c>
      <c r="E51" s="63"/>
      <c r="F51" s="63"/>
      <c r="G51" s="63"/>
      <c r="H51" s="63"/>
      <c r="I51" s="63"/>
    </row>
    <row r="52" spans="1:13">
      <c r="B52" s="48"/>
      <c r="C52" s="48"/>
    </row>
    <row r="53" spans="1:13">
      <c r="B53" s="48"/>
      <c r="C53" s="48"/>
    </row>
    <row r="54" spans="1:13" customHeight="1" ht="21">
      <c r="B54" s="82" t="s">
        <v>57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</row>
    <row r="56" spans="1:13">
      <c r="B56" s="83" t="s">
        <v>58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</row>
    <row r="57" spans="1:13">
      <c r="B57" s="83" t="s">
        <v>59</v>
      </c>
      <c r="C57" s="83"/>
      <c r="D57" s="83"/>
      <c r="E57" s="83"/>
      <c r="F57" s="83"/>
      <c r="G57" s="83"/>
      <c r="H57" s="83"/>
      <c r="I57" s="83"/>
      <c r="J57" s="83"/>
      <c r="K57" s="83"/>
      <c r="L57" s="83"/>
    </row>
    <row r="58" spans="1:13">
      <c r="B58" s="59" t="s">
        <v>60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</row>
    <row r="59" spans="1:13">
      <c r="B59" s="83" t="s">
        <v>61</v>
      </c>
      <c r="C59" s="83"/>
      <c r="D59" s="83"/>
      <c r="E59" s="83"/>
      <c r="F59" s="83"/>
      <c r="G59" s="83"/>
      <c r="H59" s="83"/>
      <c r="I59" s="83"/>
      <c r="J59" s="83"/>
      <c r="K59" s="83"/>
      <c r="L59" s="83"/>
    </row>
    <row r="60" spans="1:13">
      <c r="B60" s="83" t="s">
        <v>62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</row>
    <row r="61" spans="1:13">
      <c r="B61" s="59" t="s">
        <v>63</v>
      </c>
      <c r="C61" s="59"/>
      <c r="D61" s="59"/>
      <c r="E61" s="59"/>
      <c r="F61" s="59"/>
      <c r="G61" s="59"/>
      <c r="H61" s="59"/>
      <c r="I61" s="59"/>
      <c r="J61" s="59"/>
      <c r="K61" s="59"/>
      <c r="L61" s="59"/>
    </row>
    <row r="62" spans="1:13">
      <c r="B62" s="83" t="s">
        <v>64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</row>
    <row r="63" spans="1:13">
      <c r="B63" s="83" t="s">
        <v>65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</row>
    <row r="64" spans="1:13">
      <c r="B64" s="83" t="s">
        <v>66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</row>
    <row r="65" spans="1:13">
      <c r="B65" s="83" t="s">
        <v>67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</row>
    <row r="66" spans="1:13">
      <c r="B66" s="83" t="s">
        <v>68</v>
      </c>
      <c r="C66" s="83"/>
      <c r="D66" s="83"/>
      <c r="E66" s="83"/>
      <c r="F66" s="83"/>
      <c r="G66" s="83"/>
      <c r="H66" s="83"/>
      <c r="I66" s="83"/>
      <c r="J66" s="83"/>
      <c r="K66" s="83"/>
      <c r="L66" s="83"/>
    </row>
    <row r="67" spans="1:13">
      <c r="B67" s="83" t="s">
        <v>69</v>
      </c>
      <c r="C67" s="83"/>
      <c r="D67" s="83"/>
      <c r="E67" s="83"/>
      <c r="F67" s="83"/>
      <c r="G67" s="83"/>
      <c r="H67" s="83"/>
      <c r="I67" s="83"/>
      <c r="J67" s="83"/>
      <c r="K67" s="83"/>
      <c r="L67" s="83"/>
    </row>
    <row r="68" spans="1:13">
      <c r="B68" s="83" t="s">
        <v>70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</row>
    <row r="69" spans="1:13">
      <c r="B69" s="83" t="s">
        <v>71</v>
      </c>
      <c r="C69" s="83"/>
      <c r="D69" s="83"/>
      <c r="E69" s="83"/>
      <c r="F69" s="83"/>
      <c r="G69" s="83"/>
      <c r="H69" s="83"/>
      <c r="I69" s="83"/>
      <c r="J69" s="83"/>
      <c r="K69" s="83"/>
      <c r="L69" s="83"/>
    </row>
    <row r="70" spans="1:13">
      <c r="B70" s="83" t="s">
        <v>72</v>
      </c>
      <c r="C70" s="83"/>
      <c r="D70" s="83"/>
      <c r="E70" s="83"/>
      <c r="F70" s="83"/>
      <c r="G70" s="83"/>
      <c r="H70" s="83"/>
      <c r="I70" s="83"/>
      <c r="J70" s="83"/>
      <c r="K70" s="83"/>
      <c r="L70" s="83"/>
    </row>
    <row r="71" spans="1:13">
      <c r="B71" s="83" t="s">
        <v>73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</row>
    <row r="72" spans="1:13">
      <c r="B72" s="83" t="s">
        <v>74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</row>
    <row r="73" spans="1:13">
      <c r="B73" s="79" t="s">
        <v>75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</row>
    <row r="74" spans="1:13">
      <c r="B74" s="83" t="s">
        <v>76</v>
      </c>
      <c r="C74" s="83"/>
      <c r="D74" s="83"/>
      <c r="E74" s="83"/>
      <c r="F74" s="83"/>
      <c r="G74" s="83"/>
      <c r="H74" s="83"/>
      <c r="I74" s="83"/>
      <c r="J74" s="83"/>
      <c r="K74" s="83"/>
      <c r="L74" s="83"/>
    </row>
    <row r="75" spans="1:13">
      <c r="B75" s="79" t="s">
        <v>77</v>
      </c>
      <c r="C75" s="79"/>
      <c r="D75" s="79"/>
      <c r="E75" s="79"/>
      <c r="F75" s="79"/>
      <c r="G75" s="79"/>
      <c r="H75" s="79"/>
      <c r="I75" s="79"/>
      <c r="J75" s="79"/>
      <c r="K75" s="79"/>
      <c r="L75" s="79"/>
    </row>
    <row r="76" spans="1:13">
      <c r="B76" s="83" t="s">
        <v>78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</row>
    <row r="77" spans="1:13">
      <c r="B77" s="83" t="s">
        <v>79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</row>
    <row r="78" spans="1:13">
      <c r="B78" s="83" t="s">
        <v>80</v>
      </c>
      <c r="C78" s="83"/>
      <c r="D78" s="83"/>
      <c r="E78" s="83"/>
      <c r="F78" s="83"/>
      <c r="G78" s="83"/>
      <c r="H78" s="83"/>
      <c r="I78" s="83"/>
      <c r="J78" s="83"/>
      <c r="K78" s="83"/>
      <c r="L78" s="83"/>
    </row>
    <row r="79" spans="1:13">
      <c r="B79" s="83" t="s">
        <v>81</v>
      </c>
      <c r="C79" s="83"/>
      <c r="D79" s="83"/>
      <c r="E79" s="83"/>
      <c r="F79" s="83"/>
      <c r="G79" s="83"/>
      <c r="H79" s="83"/>
      <c r="I79" s="83"/>
      <c r="J79" s="83"/>
      <c r="K79" s="83"/>
      <c r="L79" s="83"/>
    </row>
    <row r="80" spans="1:13">
      <c r="B80" s="83" t="s">
        <v>82</v>
      </c>
      <c r="C80" s="83"/>
      <c r="D80" s="83"/>
      <c r="E80" s="83"/>
      <c r="F80" s="83"/>
      <c r="G80" s="83"/>
      <c r="H80" s="83"/>
      <c r="I80" s="83"/>
      <c r="J80" s="83"/>
      <c r="K80" s="83"/>
      <c r="L80" s="83"/>
    </row>
    <row r="81" spans="1:13">
      <c r="A81" s="42"/>
      <c r="B81" s="84" t="s">
        <v>83</v>
      </c>
      <c r="C81" s="84"/>
      <c r="D81" s="84"/>
      <c r="E81" s="84"/>
      <c r="F81" s="84"/>
      <c r="G81" s="84"/>
      <c r="H81" s="84"/>
      <c r="I81" s="84"/>
      <c r="J81" s="84"/>
      <c r="K81" s="84"/>
      <c r="L81" s="84"/>
    </row>
    <row r="82" spans="1:13">
      <c r="A82" s="42"/>
      <c r="B82" s="83" t="s">
        <v>84</v>
      </c>
      <c r="C82" s="83"/>
      <c r="D82" s="83"/>
      <c r="E82" s="83"/>
      <c r="F82" s="83"/>
      <c r="G82" s="83"/>
      <c r="H82" s="83"/>
      <c r="I82" s="83"/>
      <c r="J82" s="83"/>
      <c r="K82" s="83"/>
      <c r="L82" s="83"/>
    </row>
    <row r="83" spans="1:13">
      <c r="A83" s="42"/>
      <c r="B83" s="84" t="s">
        <v>85</v>
      </c>
      <c r="C83" s="84"/>
      <c r="D83" s="84"/>
      <c r="E83" s="84"/>
      <c r="F83" s="84"/>
      <c r="G83" s="84"/>
      <c r="H83" s="84"/>
      <c r="I83" s="84"/>
      <c r="J83" s="84"/>
      <c r="K83" s="84"/>
      <c r="L83" s="84"/>
    </row>
    <row r="85" spans="1:13">
      <c r="C85" s="48"/>
      <c r="D85" s="48"/>
      <c r="E85" s="48"/>
      <c r="F85" s="48"/>
      <c r="G85" s="48"/>
      <c r="H85" s="48"/>
      <c r="I85" s="48"/>
    </row>
    <row r="86" spans="1:13">
      <c r="C86" s="48"/>
      <c r="D86" s="48"/>
      <c r="E86" s="48"/>
      <c r="F86" s="48"/>
      <c r="G86" s="48"/>
      <c r="H86" s="48"/>
      <c r="I86" s="48"/>
    </row>
    <row r="87" spans="1:13">
      <c r="C87" s="48"/>
      <c r="D87" s="48"/>
      <c r="E87" s="48"/>
      <c r="F87" s="48"/>
      <c r="G87" s="48"/>
      <c r="H87" s="48"/>
      <c r="I87" s="48"/>
    </row>
    <row r="88" spans="1:13">
      <c r="C88" s="48"/>
      <c r="D88" s="48"/>
      <c r="E88" s="48"/>
      <c r="F88" s="48"/>
      <c r="G88" s="48"/>
      <c r="H88" s="48"/>
      <c r="I88" s="48"/>
    </row>
    <row r="89" spans="1:13">
      <c r="C89" s="48"/>
      <c r="D89" s="48"/>
      <c r="E89" s="48"/>
      <c r="F89" s="48"/>
      <c r="G89" s="48"/>
      <c r="H89" s="48"/>
      <c r="I89" s="48"/>
    </row>
    <row r="90" spans="1:13">
      <c r="C90" s="48"/>
      <c r="D90" s="48"/>
      <c r="E90" s="48"/>
      <c r="F90" s="48"/>
      <c r="G90" s="48"/>
      <c r="H90" s="48"/>
      <c r="I90" s="48"/>
    </row>
    <row r="91" spans="1:13">
      <c r="C91" s="48"/>
      <c r="D91" s="48"/>
      <c r="E91" s="48"/>
      <c r="F91" s="48"/>
      <c r="G91" s="48"/>
      <c r="H91" s="48"/>
      <c r="I91" s="48"/>
    </row>
    <row r="92" spans="1:13" customHeight="1" ht="15.6">
      <c r="C92" s="48"/>
      <c r="D92" s="48"/>
      <c r="E92" s="48"/>
      <c r="F92" s="48"/>
      <c r="G92" s="48"/>
      <c r="H92" s="48"/>
      <c r="I92" s="48"/>
    </row>
    <row r="93" spans="1:13" customHeight="1" ht="15.6">
      <c r="C93" s="48"/>
      <c r="D93" s="48"/>
      <c r="E93" s="48"/>
      <c r="F93" s="48"/>
      <c r="G93" s="48"/>
      <c r="H93" s="48"/>
      <c r="I93" s="48"/>
    </row>
    <row r="94" spans="1:13">
      <c r="C94" s="48"/>
      <c r="D94" s="48"/>
      <c r="E94" s="48"/>
      <c r="F94" s="48"/>
      <c r="G94" s="48"/>
      <c r="H94" s="48"/>
      <c r="I94" s="48"/>
    </row>
    <row r="100" spans="1:13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4"/>
  <sheetViews>
    <sheetView tabSelected="0" workbookViewId="0" showGridLines="true" showRowColHeaders="1">
      <selection activeCell="C19" sqref="C19"/>
    </sheetView>
  </sheetViews>
  <sheetFormatPr defaultRowHeight="14.4" outlineLevelRow="0" outlineLevelCol="0"/>
  <cols>
    <col min="2" max="2" width="19.995117" bestFit="true" customWidth="true" style="0"/>
  </cols>
  <sheetData>
    <row r="1" spans="1:26">
      <c r="B1" s="87" t="s">
        <v>86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4" spans="1:26">
      <c r="B4" t="s">
        <v>87</v>
      </c>
      <c r="C4" t="s">
        <v>88</v>
      </c>
    </row>
    <row r="5" spans="1:26">
      <c r="B5" t="s">
        <v>89</v>
      </c>
      <c r="C5" t="str">
        <f>SUM(C12:C12)</f>
        <v>0</v>
      </c>
      <c r="D5" t="str">
        <f>SUM(C12:C12)</f>
        <v>0</v>
      </c>
    </row>
    <row r="6" spans="1:26">
      <c r="B6" t="s">
        <v>90</v>
      </c>
      <c r="C6" t="str">
        <f>SUM(C13:C13)</f>
        <v>0</v>
      </c>
      <c r="D6" t="str">
        <f>SUM(C13:C13)</f>
        <v>0</v>
      </c>
    </row>
    <row r="7" spans="1:26">
      <c r="B7" t="s">
        <v>91</v>
      </c>
    </row>
    <row r="8" spans="1:26">
      <c r="B8" t="s">
        <v>92</v>
      </c>
    </row>
    <row r="10" spans="1:26">
      <c r="C10"/>
    </row>
    <row r="11" spans="1:26">
      <c r="B11" s="88" t="s">
        <v>93</v>
      </c>
      <c r="C11" t="s">
        <v>49</v>
      </c>
    </row>
    <row r="12" spans="1:26">
      <c r="B12" t="s">
        <v>94</v>
      </c>
      <c r="C12">
        <v>83</v>
      </c>
      <c r="D12" t="str">
        <f>SUM(C12:C12)</f>
        <v>0</v>
      </c>
    </row>
    <row r="13" spans="1:26">
      <c r="B13" t="s">
        <v>95</v>
      </c>
      <c r="C13">
        <v>1370.4</v>
      </c>
      <c r="D13" t="str">
        <f>SUM(C13:C13)</f>
        <v>0</v>
      </c>
    </row>
    <row r="14" spans="1:26">
      <c r="B14" t="s">
        <v>96</v>
      </c>
      <c r="C14"/>
      <c r="D14" t="str">
        <f>SUM(C14:C14)</f>
        <v>0</v>
      </c>
    </row>
    <row r="15" spans="1:26">
      <c r="B15" t="s">
        <v>97</v>
      </c>
      <c r="C15"/>
      <c r="D15" t="str">
        <f>SUM(C15:C15)</f>
        <v>0</v>
      </c>
    </row>
    <row r="16" spans="1:26">
      <c r="B16" s="89" t="s">
        <v>98</v>
      </c>
    </row>
    <row r="17" spans="1:26">
      <c r="B17" t="s">
        <v>99</v>
      </c>
      <c r="C17"/>
      <c r="D17" t="str">
        <f>SUM(C17:C17)</f>
        <v>0</v>
      </c>
    </row>
    <row r="18" spans="1:26">
      <c r="B18" s="89" t="s">
        <v>100</v>
      </c>
      <c r="C18" t="str">
        <f>C15*C17</f>
        <v>0</v>
      </c>
      <c r="D18" t="str">
        <f>SUM(C18:C18)</f>
        <v>0</v>
      </c>
    </row>
    <row r="19" spans="1:26">
      <c r="B19" s="89" t="s">
        <v>101</v>
      </c>
      <c r="C19" s="90" t="str">
        <f>C18/D18</f>
        <v>0</v>
      </c>
    </row>
    <row r="20" spans="1:26">
      <c r="B20" t="s">
        <v>102</v>
      </c>
      <c r="C20" t="str">
        <f>D20*C19</f>
        <v>0</v>
      </c>
      <c r="D20" t="str">
        <f>D14*0.6*300</f>
        <v>0</v>
      </c>
    </row>
    <row r="21" spans="1:26">
      <c r="B21" t="s">
        <v>103</v>
      </c>
      <c r="C21" t="str">
        <f>C18+C20</f>
        <v>0</v>
      </c>
      <c r="D21" t="str">
        <f>SUM(C21:C21)</f>
        <v>0</v>
      </c>
    </row>
    <row r="22" spans="1:26">
      <c r="B22" t="s">
        <v>104</v>
      </c>
      <c r="C22" t="str">
        <f>D22*C19</f>
        <v>0</v>
      </c>
      <c r="D22" t="str">
        <f>IF(D21&gt;5000,100,50)</f>
        <v>0</v>
      </c>
    </row>
    <row r="23" spans="1:26">
      <c r="B23" t="s">
        <v>105</v>
      </c>
      <c r="C23" t="str">
        <f>C21+C22</f>
        <v>0</v>
      </c>
    </row>
    <row r="28" spans="1:26">
      <c r="B28" s="87" t="s">
        <v>106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31" spans="1:26">
      <c r="B31" t="s">
        <v>107</v>
      </c>
      <c r="C31" t="str">
        <f>*C17</f>
        <v>0</v>
      </c>
      <c r="D31" t="str">
        <f>SUM(C31:C31)</f>
        <v>0</v>
      </c>
    </row>
    <row r="33" spans="1:26">
      <c r="C33" s="90" t="s">
        <v>108</v>
      </c>
    </row>
    <row r="34" spans="1:26">
      <c r="B34" t="s">
        <v>109</v>
      </c>
      <c r="C34" t="str">
        <f>*C23</f>
        <v>0</v>
      </c>
      <c r="D34" t="str">
        <f>SUM(C34:C34)</f>
        <v>0</v>
      </c>
    </row>
    <row r="35" spans="1:26">
      <c r="B35" t="s">
        <v>110</v>
      </c>
      <c r="C35" t="str">
        <f>C23*0.16</f>
        <v>0</v>
      </c>
      <c r="D35" t="str">
        <f>SUM(C35:C35)</f>
        <v>0</v>
      </c>
    </row>
    <row r="36" spans="1:26">
      <c r="B36" t="s">
        <v>111</v>
      </c>
      <c r="C36" t="str">
        <f>C23*0.02</f>
        <v>0</v>
      </c>
      <c r="D36" t="str">
        <f>SUM(C36:C36)</f>
        <v>0</v>
      </c>
    </row>
    <row r="37" spans="1:26">
      <c r="B37" t="s">
        <v>112</v>
      </c>
      <c r="C37" t="str">
        <f>C23*</f>
        <v>0</v>
      </c>
      <c r="D37" t="str">
        <f>SUM(C36:C37)</f>
        <v>0</v>
      </c>
    </row>
    <row r="38" spans="1:26">
      <c r="B38" t="s">
        <v>36</v>
      </c>
      <c r="C38" t="str">
        <f>SUM(C34:C37)</f>
        <v>0</v>
      </c>
      <c r="D38" t="str">
        <f>SUM(C38:C38)</f>
        <v>0</v>
      </c>
    </row>
    <row r="39" spans="1:26">
      <c r="T39" t="s">
        <v>113</v>
      </c>
    </row>
    <row r="40" spans="1:26">
      <c r="T40">
        <v>3.7</v>
      </c>
    </row>
    <row r="42" spans="1:26">
      <c r="B42" s="87" t="s">
        <v>114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5" spans="1:26">
      <c r="B45" t="s">
        <v>115</v>
      </c>
      <c r="C45" t="str">
        <f>D45*C19</f>
        <v>0</v>
      </c>
      <c r="D45" t="str">
        <f>D14*0.4*300</f>
        <v>0</v>
      </c>
    </row>
    <row r="48" spans="1:26">
      <c r="B48" s="87" t="s">
        <v>116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50" spans="1:26">
      <c r="B50" t="s">
        <v>115</v>
      </c>
      <c r="C50" t="s">
        <v>49</v>
      </c>
    </row>
    <row r="51" spans="1:26">
      <c r="B51" t="s">
        <v>117</v>
      </c>
      <c r="C51" t="str">
        <f>C21+C31+C38+C45</f>
        <v>0</v>
      </c>
    </row>
    <row r="52" spans="1:26">
      <c r="B52" t="s">
        <v>45</v>
      </c>
      <c r="C52" t="str">
        <f>C17</f>
        <v>0</v>
      </c>
    </row>
    <row r="53" spans="1:26">
      <c r="B53" t="s">
        <v>118</v>
      </c>
      <c r="C53" t="str">
        <f>C51/C52</f>
        <v>0</v>
      </c>
    </row>
    <row r="54" spans="1:26">
      <c r="B54" t="s">
        <v>119</v>
      </c>
      <c r="C54" t="str">
        <f>C53*T40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Z1"/>
    <mergeCell ref="B28:Z28"/>
    <mergeCell ref="B42:Z42"/>
    <mergeCell ref="B48:Z48"/>
    <mergeCell ref="C14:C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