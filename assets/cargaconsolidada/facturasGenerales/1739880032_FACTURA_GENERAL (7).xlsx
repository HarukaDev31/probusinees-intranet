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1" sheetId="1" r:id="rId4"/>
    <sheet name="C2" sheetId="2" r:id="rId5"/>
  </sheets>
  <definedNames>
    <definedName name="_xlnm.Print_Area" localSheetId="0">'C1'!$A$1:$R$110</definedName>
    <definedName name="_xlnm.Print_Area" localSheetId="1">'C2'!$A$1:$Q$74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<sst xmlns="http://schemas.openxmlformats.org/spreadsheetml/2006/main" uniqueCount="137">
  <si>
    <t>商业发票</t>
  </si>
  <si>
    <t>COMMERCIAL INVOICE</t>
  </si>
  <si>
    <t>SELLER</t>
  </si>
  <si>
    <t>Company:</t>
  </si>
  <si>
    <t>GLOBAL SHOP INTERNATIONAL COMPANY LIMITED</t>
  </si>
  <si>
    <t>ADD:</t>
  </si>
  <si>
    <t>ROOM 8038/E EASEY COMMERCTATBUILDING 253 - 261 HENNESSY ROAD WAN CHAI, HONG KONG</t>
  </si>
  <si>
    <t># INVOICE:</t>
  </si>
  <si>
    <t xml:space="preserve">Phone: </t>
  </si>
  <si>
    <t>0086 15355341017</t>
  </si>
  <si>
    <t>DATE:</t>
  </si>
  <si>
    <t xml:space="preserve">ATTN: </t>
  </si>
  <si>
    <t>Ma Lao</t>
  </si>
  <si>
    <t>TERMS:</t>
  </si>
  <si>
    <t>CREDITO</t>
  </si>
  <si>
    <t>BUYER:</t>
  </si>
  <si>
    <t>PRO MUNDO COMEX S.A.C.</t>
  </si>
  <si>
    <t>JR. ALEXANDER VON HUMBOLDT NRO.1091 DPTO.16 INT4 URB. EL PORVENIR LIMA-LIMA-LA VICTORIA</t>
  </si>
  <si>
    <t>RUC:</t>
  </si>
  <si>
    <t>PHONE</t>
  </si>
  <si>
    <t>+51 948 452 431</t>
  </si>
  <si>
    <t>EMAIL:</t>
  </si>
  <si>
    <t>mvalle@probusiness.pe</t>
  </si>
  <si>
    <t>ITEM No°</t>
  </si>
  <si>
    <t>TIPO DE CLIENTE</t>
  </si>
  <si>
    <t>CLIENTE</t>
  </si>
  <si>
    <t>DESCRIPTION OF GOODS</t>
  </si>
  <si>
    <t>QUANTITY</t>
  </si>
  <si>
    <t>PRICE (USD)</t>
  </si>
  <si>
    <t>FOB PRICE (USD</t>
  </si>
  <si>
    <t>ADVALOREM</t>
  </si>
  <si>
    <t>ANTIDUMPING</t>
  </si>
  <si>
    <t>VOL. SISTEMA</t>
  </si>
  <si>
    <t>NUEVO</t>
  </si>
  <si>
    <t xml:space="preserve">BRYAN RUIZ	</t>
  </si>
  <si>
    <t>CERRADURA DIGITAL</t>
  </si>
  <si>
    <t>PCS</t>
  </si>
  <si>
    <t>-</t>
  </si>
  <si>
    <t>TORRE PARA GATOS</t>
  </si>
  <si>
    <t>RUEDA PARA GATOS</t>
  </si>
  <si>
    <t>GORROS DEPORTIVOS</t>
  </si>
  <si>
    <t>CORREA PARA MASCOTA</t>
  </si>
  <si>
    <t>PANTALON LEGGIN PARA DEPORTE</t>
  </si>
  <si>
    <t>SHORT DEPORTIVO</t>
  </si>
  <si>
    <t>TRICICLO PLEGABLE MULTIFUNCIONAL</t>
  </si>
  <si>
    <t>FOCOS LED 12W</t>
  </si>
  <si>
    <t>REBANADOR MULTIFUNCIONAL PARA PLATANOS</t>
  </si>
  <si>
    <t>ROLLO DE ETIQUETA ADHESIVA COLOR</t>
  </si>
  <si>
    <t>ROLLO DE ETIQUETA ADHESIVA BLANCA</t>
  </si>
  <si>
    <t>ETIQUETA ADHESIVA TERMINCAS BLANCA</t>
  </si>
  <si>
    <t>MAQUINA PARA PALOMITAS DE MAÍZ ZA-12</t>
  </si>
  <si>
    <t>CALENTADOR PARA PALOMITAS DE MAÍZ ZA-650</t>
  </si>
  <si>
    <t>MAQUINA PARA PALOMITAS DE MAÍZ ZA-08</t>
  </si>
  <si>
    <t>DISPENSADOR DE AGUA CON FILTRO PURIFICADOR</t>
  </si>
  <si>
    <t>MANIJA DOBLE PARA PUERTAS DE VIDRIO</t>
  </si>
  <si>
    <t>PAIRS</t>
  </si>
  <si>
    <t>LAMPARA DE TECHO PARA COMEDOR</t>
  </si>
  <si>
    <t>LAMPARA LED DE TECHO PARA SALA</t>
  </si>
  <si>
    <t>LAMPARA LED PARA TECHO 3 ANILLOS</t>
  </si>
  <si>
    <t>LAMPARA LED DE TECHO MODERNO</t>
  </si>
  <si>
    <t>ETIQUETAS ADHESIVAS TÉRMICAS HOLOGRÁFICAS 5CM</t>
  </si>
  <si>
    <t>ETIQUETAS ADHESIVAS TÉRMICAS HOLOGRÁFICAS 3CM</t>
  </si>
  <si>
    <t>ETIQUETAS TERMICAS IMPERMEABLES</t>
  </si>
  <si>
    <t>Edwing Saavedra Valeriano</t>
  </si>
  <si>
    <t>FOCOS LED Y7D</t>
  </si>
  <si>
    <t>FOCOS LED SC7</t>
  </si>
  <si>
    <t>FOCOS LED Y8H4</t>
  </si>
  <si>
    <t>FOCOS LED V26(H4)</t>
  </si>
  <si>
    <t>FOCOS LED V68(H4)</t>
  </si>
  <si>
    <t>CARGADOR DE BATERÍAS DE CARROS</t>
  </si>
  <si>
    <t>GUANTES LARGOS TACTICOS</t>
  </si>
  <si>
    <t>GUANTES CORTOS TACTICOS</t>
  </si>
  <si>
    <t>MOCHILA TACTICA</t>
  </si>
  <si>
    <t>MOCHILA PARA SENDERISMO</t>
  </si>
  <si>
    <t>MOCHILA TACTICA MULTIBOLSILLOS</t>
  </si>
  <si>
    <t>MORRAL TÁCTICO</t>
  </si>
  <si>
    <t>CORREA TÁCTICA</t>
  </si>
  <si>
    <t>MASCARA TACTICA</t>
  </si>
  <si>
    <t>PACK RODILLERAS Y CODERAS TACTICAS</t>
  </si>
  <si>
    <t>PASAMONTAÑAS TACTICA</t>
  </si>
  <si>
    <t>CINTURON DE SEGURIDAD DE 3 PUNTOS</t>
  </si>
  <si>
    <t>CINTURÓN DE SEGURIDAD DE 2 PUNTOS RETRACTIL</t>
  </si>
  <si>
    <t>SOPORTE PARA BARRAS DE MOTOCICLETA</t>
  </si>
  <si>
    <t>SOPORTE PARA SLIDER DE MOTOCICLETA</t>
  </si>
  <si>
    <t>SOPORTE PARA ESPEJO DE MOTOCICLETA</t>
  </si>
  <si>
    <t>COMANDO CON LUZ LED PARA MOTOCICLETA</t>
  </si>
  <si>
    <t>PISCINA CON PROTECCION</t>
  </si>
  <si>
    <t>MALLA HEXAGONAL DE PROTECCIÓN</t>
  </si>
  <si>
    <t>SET DE PINES DE SEGURIDAD PARA PARLANTES</t>
  </si>
  <si>
    <t>ANTIGUO</t>
  </si>
  <si>
    <t>JOSE SMITH</t>
  </si>
  <si>
    <t>POSA RUEDAS O TOPES PARA RUEDAS</t>
  </si>
  <si>
    <t>CARTERAS PARA DAMA</t>
  </si>
  <si>
    <t>SCOOTER ELECTRICO PARA NIÑO</t>
  </si>
  <si>
    <t>ADAPTADOR USB SATA</t>
  </si>
  <si>
    <t>CASE PARA DISCO DURO</t>
  </si>
  <si>
    <t>CADDY 2.5" PARA COMPUTADORA</t>
  </si>
  <si>
    <t>MOTHERBOARD H61 PARA COMPUTADORA</t>
  </si>
  <si>
    <t>MOTHERBOARD H81 PARA COMPUTADORA</t>
  </si>
  <si>
    <t>TARJETA GRAFICA GT730 PARA COMPUTADORA</t>
  </si>
  <si>
    <t>TARJETA GRAFICA GTX750TI PARA COMPUTADORA</t>
  </si>
  <si>
    <t>AFEITADORA ELÉCTRICA CDH002-MN</t>
  </si>
  <si>
    <t>CAPA PARA BARBERIA</t>
  </si>
  <si>
    <t>AFEITADORA CLASICA AJUSTABLE</t>
  </si>
  <si>
    <t>BASE DE SOPORTE PARA MAQUINA DE AFEITAR</t>
  </si>
  <si>
    <t>SET DE 50 HOJAS PARA AFEITAR</t>
  </si>
  <si>
    <t>EMBRAGUE DE LIBERACIÓN PARA BATERIA ACUSTICA</t>
  </si>
  <si>
    <t>ABRAZADERA PARA TABOR DE BATERÍA ACUSTICA</t>
  </si>
  <si>
    <t>SET DE SEGURO PARA PLATILLOS</t>
  </si>
  <si>
    <t>TUERCAS PARA PLATILLOS DE BATERIA</t>
  </si>
  <si>
    <t>Percy Sullca Tito</t>
  </si>
  <si>
    <t>SOPORTE DE CAMPANA DE TAMBOR</t>
  </si>
  <si>
    <t>PANDERETA PARA TAROLA DE BATERIA</t>
  </si>
  <si>
    <t>MAZO PARA PEDAL DE BOMBO MODELO 1</t>
  </si>
  <si>
    <t>MAZO PARA PEDAL DE BOMBO MODELO 2</t>
  </si>
  <si>
    <t>SOPORTE PARA BAQUETAS</t>
  </si>
  <si>
    <t>ARO DE TAMBOR PARA BATERÍA</t>
  </si>
  <si>
    <t>BAQUETAS PARA BATERIA</t>
  </si>
  <si>
    <t>GUARDAFANDO DELANTERO PARA CAMIÓN</t>
  </si>
  <si>
    <t>BOLSO PARA MUJER</t>
  </si>
  <si>
    <t>TOTAL FOB PRICE</t>
  </si>
  <si>
    <t xml:space="preserve">COUNTRY OF ORIGINE: NINGBO , CHINA  </t>
  </si>
  <si>
    <t>INCOTERMS: FOB - NINGBO</t>
  </si>
  <si>
    <t>Bank Details:</t>
  </si>
  <si>
    <t>**</t>
  </si>
  <si>
    <t>BRAND</t>
  </si>
  <si>
    <t>S/M</t>
  </si>
  <si>
    <t>Intermediary Bank: BANK OF AMERICA N.A.NEW YORK BRANCH</t>
  </si>
  <si>
    <t>SWIFT BIC: BOFAUS3N</t>
  </si>
  <si>
    <t>Beneficiary Bank: ZHEJIANG CHOUZHOU COMMERCIAL BANK</t>
  </si>
  <si>
    <t>SWIFT BIC: CZCBCN2X</t>
  </si>
  <si>
    <t>City: YIWU</t>
  </si>
  <si>
    <t>Province: ZHEJIANG</t>
  </si>
  <si>
    <t>Country: CHINA</t>
  </si>
  <si>
    <t>Beneficiary Name: GLOBAL SHOP INTERNATIONAL COMPANY LIMITED</t>
  </si>
  <si>
    <t>Beneficiary Account: NRA15602002010590029396</t>
  </si>
  <si>
    <t>Company Address: ROOM 803 8/E EASEY COMERCIAL BUILDING 253 - 261 HENNESSY ROAD WAN CHAI, HONG KONG CHINA</t>
  </si>
</sst>
</file>

<file path=xl/styles.xml><?xml version="1.0" encoding="utf-8"?>
<styleSheet xmlns="http://schemas.openxmlformats.org/spreadsheetml/2006/main" xml:space="preserve">
  <numFmts count="3">
    <numFmt numFmtId="164" formatCode="[$$-409]#,##0.00"/>
    <numFmt numFmtId="165" formatCode="_-[$$-409]* #,##0.00_ ;_-[$$-409]* \-#,##0.00\ ;_-[$$-409]* &quot;-&quot;??_ ;_-@_ "/>
    <numFmt numFmtId="166" formatCode="&quot;$&quot;#,##0.00_-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single"/>
      <sz val="14"/>
      <color rgb="FF000000"/>
      <name val="Arial Narrow"/>
    </font>
    <font>
      <b val="0"/>
      <i val="0"/>
      <strike val="0"/>
      <u val="none"/>
      <sz val="36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BDD6EE"/>
        <bgColor rgb="FFFFFFFF"/>
      </patternFill>
    </fill>
    <fill>
      <patternFill patternType="solid">
        <fgColor rgb="FFFFFF00"/>
        <bgColor rgb="FFFFFFFF"/>
      </patternFill>
    </fill>
    <fill>
      <patternFill patternType="none"/>
    </fill>
    <fill>
      <patternFill patternType="solid">
        <fgColor rgb="FFf5b7b1"/>
        <bgColor rgb="FFFFFFFF"/>
      </patternFill>
    </fill>
    <fill>
      <patternFill patternType="solid">
        <fgColor rgb="FFdcdde1"/>
        <bgColor rgb="FFFFFFFF"/>
      </patternFill>
    </fill>
    <fill>
      <patternFill patternType="solid">
        <fgColor rgb="FF85c1e9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49" fillId="3" borderId="0" applyFont="0" applyNumberFormat="1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3" applyFont="1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0" numFmtId="0" fillId="3" borderId="6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164" fillId="3" borderId="2" applyFont="0" applyNumberFormat="1" applyFill="1" applyBorder="1" applyAlignment="1">
      <alignment horizontal="center" vertical="center" textRotation="0" wrapText="false" shrinkToFit="false"/>
    </xf>
    <xf xfId="0" fontId="0" numFmtId="164" fillId="3" borderId="7" applyFont="0" applyNumberFormat="1" applyFill="1" applyBorder="1" applyAlignment="1">
      <alignment horizontal="center" vertical="center" textRotation="0" wrapText="false" shrinkToFit="false"/>
    </xf>
    <xf xfId="0" fontId="0" numFmtId="164" fillId="3" borderId="8" applyFont="0" applyNumberFormat="1" applyFill="1" applyBorder="1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165" fillId="3" borderId="0" applyFont="1" applyNumberFormat="1" applyFill="1" applyBorder="0" applyAlignment="1">
      <alignment horizontal="general" vertical="center" textRotation="0" wrapText="fals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  <xf xfId="0" fontId="6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14" fillId="4" borderId="2" applyFont="0" applyNumberFormat="1" applyFill="1" applyBorder="1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2" applyFont="0" applyNumberFormat="0" applyFill="0" applyBorder="1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right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5" borderId="3" applyFont="1" applyNumberFormat="0" applyFill="1" applyBorder="1" applyAlignment="1">
      <alignment horizontal="center" vertical="center" textRotation="0" wrapText="false" shrinkToFit="false"/>
    </xf>
    <xf xfId="0" fontId="0" numFmtId="0" fillId="5" borderId="6" applyFont="0" applyNumberFormat="0" applyFill="1" applyBorder="1" applyAlignment="1">
      <alignment horizontal="center" vertical="center" textRotation="0" wrapText="false" shrinkToFit="false"/>
    </xf>
    <xf xfId="0" fontId="2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1">
      <alignment horizontal="center" vertical="center" textRotation="0" wrapText="false" shrinkToFit="false"/>
    </xf>
    <xf xfId="0" fontId="0" numFmtId="164" fillId="5" borderId="2" applyFont="0" applyNumberFormat="1" applyFill="1" applyBorder="1" applyAlignment="1">
      <alignment horizontal="center" vertical="center" textRotation="0" wrapText="false" shrinkToFit="false"/>
    </xf>
    <xf xfId="0" fontId="0" numFmtId="164" fillId="5" borderId="7" applyFont="0" applyNumberFormat="1" applyFill="1" applyBorder="1" applyAlignment="1">
      <alignment horizontal="center" vertical="center" textRotation="0" wrapText="false" shrinkToFit="false"/>
    </xf>
    <xf xfId="0" fontId="0" numFmtId="0" fillId="3" borderId="9" applyFont="0" applyNumberFormat="0" applyFill="1" applyBorder="1" applyAlignment="1">
      <alignment horizontal="center" vertical="center" textRotation="0" wrapText="false" shrinkToFit="false"/>
    </xf>
    <xf xfId="0" fontId="0" numFmtId="0" fillId="3" borderId="10" applyFont="0" applyNumberFormat="0" applyFill="1" applyBorder="1" applyAlignment="1">
      <alignment horizontal="center" vertical="center" textRotation="0" wrapText="false" shrinkToFit="false"/>
    </xf>
    <xf xfId="0" fontId="0" numFmtId="0" fillId="3" borderId="11" applyFont="0" applyNumberFormat="0" applyFill="1" applyBorder="1" applyAlignment="1">
      <alignment horizontal="center" vertical="center" textRotation="0" wrapText="false" shrinkToFit="false"/>
    </xf>
    <xf xfId="0" fontId="0" numFmtId="0" fillId="5" borderId="12" applyFont="0" applyNumberFormat="0" applyFill="1" applyBorder="1" applyAlignment="1">
      <alignment horizontal="center" vertical="center" textRotation="0" wrapText="false" shrinkToFit="false"/>
    </xf>
    <xf xfId="0" fontId="0" numFmtId="0" fillId="5" borderId="13" applyFont="0" applyNumberFormat="0" applyFill="1" applyBorder="1" applyAlignment="1">
      <alignment horizontal="center" vertical="center" textRotation="0" wrapText="false" shrinkToFit="false"/>
    </xf>
    <xf xfId="0" fontId="0" numFmtId="0" fillId="5" borderId="14" applyFont="0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2" numFmtId="0" fillId="5" borderId="4" applyFont="1" applyNumberFormat="0" applyFill="1" applyBorder="1" applyAlignment="1">
      <alignment horizontal="center" vertical="center" textRotation="0" wrapText="false" shrinkToFit="false"/>
    </xf>
    <xf xfId="0" fontId="7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2" numFmtId="0" fillId="3" borderId="4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166" fillId="5" borderId="2" applyFont="0" applyNumberFormat="1" applyFill="1" applyBorder="1" applyAlignment="1">
      <alignment horizontal="center" vertical="center" textRotation="0" wrapText="false" shrinkToFit="false"/>
    </xf>
    <xf xfId="0" fontId="0" numFmtId="166" fillId="5" borderId="7" applyFont="0" applyNumberFormat="1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7" borderId="3" applyFont="1" applyNumberFormat="0" applyFill="1" applyBorder="1" applyAlignment="1">
      <alignment horizontal="center" vertical="center" textRotation="0" wrapText="false" shrinkToFit="false"/>
    </xf>
    <xf xfId="0" fontId="0" numFmtId="0" fillId="7" borderId="6" applyFont="0" applyNumberFormat="0" applyFill="1" applyBorder="1" applyAlignment="1">
      <alignment horizontal="center" vertical="center" textRotation="0" wrapText="false" shrinkToFit="false"/>
    </xf>
    <xf xfId="0" fontId="2" numFmtId="0" fillId="8" borderId="3" applyFont="1" applyNumberFormat="0" applyFill="1" applyBorder="1" applyAlignment="1">
      <alignment horizontal="center" vertical="center" textRotation="0" wrapText="false" shrinkToFit="false"/>
    </xf>
    <xf xfId="0" fontId="0" numFmtId="0" fillId="8" borderId="6" applyFont="0" applyNumberFormat="0" applyFill="1" applyBorder="1" applyAlignment="1">
      <alignment horizontal="center" vertical="center" textRotation="0" wrapText="false" shrinkToFit="false"/>
    </xf>
    <xf xfId="0" fontId="2" numFmtId="0" fillId="9" borderId="2" applyFont="1" applyNumberFormat="0" applyFill="1" applyBorder="1" applyAlignment="1">
      <alignment horizontal="center" vertical="center" textRotation="0" wrapText="false" shrinkToFit="false"/>
    </xf>
    <xf xfId="0" fontId="0" numFmtId="10" fillId="9" borderId="2" applyFont="0" applyNumberFormat="1" applyFill="1" applyBorder="1" applyAlignment="1">
      <alignment horizontal="center" vertical="center" textRotation="0" wrapText="false" shrinkToFit="false"/>
    </xf>
    <xf xfId="0" fontId="2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9" borderId="2" applyFont="0" applyNumberFormat="0" applyFill="1" applyBorder="1" applyAlignment="1">
      <alignment horizontal="center" vertical="center" textRotation="0" wrapText="false" shrinkToFit="false"/>
    </xf>
    <xf xfId="0" fontId="2" numFmtId="0" fillId="7" borderId="2" applyFont="1" applyNumberFormat="0" applyFill="1" applyBorder="1" applyAlignment="1">
      <alignment horizontal="center" vertical="bottom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9</xdr:row>
      <xdr:rowOff>0</xdr:rowOff>
    </xdr:from>
    <xdr:ext cx="2295525" cy="213360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13</xdr:col>
      <xdr:colOff>171450</xdr:colOff>
      <xdr:row>107</xdr:row>
      <xdr:rowOff>209550</xdr:rowOff>
    </xdr:from>
    <xdr:ext cx="3152775" cy="1828800"/>
    <xdr:pic>
      <xdr:nvPicPr>
        <xdr:cNvPr id="2" name="Imagen 4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9</xdr:row>
      <xdr:rowOff>0</xdr:rowOff>
    </xdr:from>
    <xdr:ext cx="2295525" cy="213360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609600</xdr:colOff>
      <xdr:row>71</xdr:row>
      <xdr:rowOff>28575</xdr:rowOff>
    </xdr:from>
    <xdr:ext cx="3152775" cy="1828800"/>
    <xdr:pic>
      <xdr:nvPicPr>
        <xdr:cNvPr id="2" name="Imagen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mailto:mvalle@probusiness.pe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_hyperlink_1" Type="http://schemas.openxmlformats.org/officeDocument/2006/relationships/hyperlink" Target="mailto:mvalle@probusines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Z280"/>
  <sheetViews>
    <sheetView tabSelected="1" workbookViewId="0" zoomScale="68" zoomScaleNormal="68" showGridLines="true" showRowColHeaders="1">
      <selection activeCell="T25" sqref="T25"/>
    </sheetView>
  </sheetViews>
  <sheetFormatPr defaultRowHeight="14.4" outlineLevelRow="0" outlineLevelCol="0"/>
  <cols>
    <col min="2" max="2" width="16.5" customWidth="true" style="0"/>
    <col min="5" max="5" width="18.83203125" customWidth="true" style="0"/>
    <col min="7" max="7" width="15.6640625" customWidth="true" style="0"/>
    <col min="14" max="14" width="15.83203125" customWidth="true" style="0"/>
    <col min="17" max="17" width="29.5" customWidth="true" style="0"/>
    <col min="4" max="4" width="60" customWidth="true" style="60"/>
    <col min="3" max="3" width="30" customWidth="true" style="0"/>
    <col min="18" max="18" width="20" customWidth="true" style="0"/>
    <col min="19" max="19" width="25" customWidth="true" style="0"/>
    <col min="20" max="20" width="15" customWidth="true" style="0"/>
  </cols>
  <sheetData>
    <row r="1" spans="1:26" s="1" customFormat="1"/>
    <row r="2" spans="1:26" s="1" customFormat="1"/>
    <row r="3" spans="1:26" s="1" customFormat="1"/>
    <row r="4" spans="1:26" s="1" customFormat="1"/>
    <row r="5" spans="1:26" customHeight="1" ht="15" s="1" customFormat="1">
      <c r="F5" s="51" t="s">
        <v>0</v>
      </c>
      <c r="G5" s="51"/>
      <c r="H5" s="51"/>
      <c r="I5" s="51"/>
      <c r="J5" s="51"/>
      <c r="K5" s="51"/>
      <c r="L5" s="51"/>
      <c r="M5" s="51"/>
      <c r="N5" s="51"/>
    </row>
    <row r="6" spans="1:26" customHeight="1" ht="15" s="1" customFormat="1">
      <c r="F6" s="51"/>
      <c r="G6" s="51"/>
      <c r="H6" s="51"/>
      <c r="I6" s="51"/>
      <c r="J6" s="51"/>
      <c r="K6" s="51"/>
      <c r="L6" s="51"/>
      <c r="M6" s="51"/>
      <c r="N6" s="51"/>
    </row>
    <row r="7" spans="1:26" customHeight="1" ht="15" s="1" customFormat="1">
      <c r="F7" s="51"/>
      <c r="G7" s="51"/>
      <c r="H7" s="51"/>
      <c r="I7" s="51"/>
      <c r="J7" s="51"/>
      <c r="K7" s="51"/>
      <c r="L7" s="51"/>
      <c r="M7" s="51"/>
      <c r="N7" s="51"/>
    </row>
    <row r="8" spans="1:26" customHeight="1" ht="15" s="1" customFormat="1">
      <c r="I8" s="52" t="s">
        <v>1</v>
      </c>
      <c r="J8" s="52"/>
      <c r="K8" s="52"/>
    </row>
    <row r="9" spans="1:26" customHeight="1" ht="15" s="1" customFormat="1"/>
    <row r="10" spans="1:26" customHeight="1" ht="15" s="1" customFormat="1">
      <c r="B10" s="1"/>
      <c r="C10" s="1"/>
      <c r="D10" s="1"/>
    </row>
    <row r="11" spans="1:26" customHeight="1" ht="15" s="1" customFormat="1">
      <c r="F11" s="3" t="s">
        <v>2</v>
      </c>
      <c r="G11" s="3"/>
      <c r="H11" s="3"/>
      <c r="I11" s="3"/>
      <c r="J11" s="3"/>
      <c r="K11" s="3"/>
      <c r="L11" s="3"/>
      <c r="M11" s="3"/>
      <c r="N11" s="3"/>
    </row>
    <row r="12" spans="1:26" customHeight="1" ht="15" s="1" customFormat="1">
      <c r="F12" s="1" t="s">
        <v>3</v>
      </c>
      <c r="G12" s="1" t="s">
        <v>4</v>
      </c>
    </row>
    <row r="13" spans="1:26" customHeight="1" ht="15" s="1" customFormat="1">
      <c r="F13" s="1" t="s">
        <v>5</v>
      </c>
      <c r="G13" s="1" t="s">
        <v>6</v>
      </c>
      <c r="O13" s="49" t="s">
        <v>7</v>
      </c>
      <c r="P13" s="49"/>
      <c r="Q13" s="4">
        <v>91100079</v>
      </c>
    </row>
    <row r="14" spans="1:26" customHeight="1" ht="15" s="1" customFormat="1">
      <c r="F14" s="1" t="s">
        <v>8</v>
      </c>
      <c r="G14" s="5" t="s">
        <v>9</v>
      </c>
      <c r="O14" s="49" t="s">
        <v>10</v>
      </c>
      <c r="P14" s="49"/>
      <c r="Q14" s="23">
        <v>45555</v>
      </c>
    </row>
    <row r="15" spans="1:26" customHeight="1" ht="15" s="1" customFormat="1">
      <c r="F15" s="1" t="s">
        <v>11</v>
      </c>
      <c r="G15" s="1" t="s">
        <v>12</v>
      </c>
      <c r="O15" s="49" t="s">
        <v>13</v>
      </c>
      <c r="P15" s="49"/>
      <c r="Q15" s="4" t="s">
        <v>14</v>
      </c>
    </row>
    <row r="16" spans="1:26" customHeight="1" ht="15" s="1" customFormat="1"/>
    <row r="17" spans="1:26" customHeight="1" ht="15" s="1" customFormat="1">
      <c r="F17" s="3" t="s">
        <v>15</v>
      </c>
      <c r="G17" s="3"/>
      <c r="H17" s="3"/>
      <c r="I17" s="3"/>
      <c r="J17" s="3"/>
      <c r="K17" s="3"/>
      <c r="L17" s="3"/>
      <c r="M17" s="3"/>
      <c r="N17" s="3"/>
    </row>
    <row r="18" spans="1:26" customHeight="1" ht="15" s="1" customFormat="1">
      <c r="F18" s="1" t="s">
        <v>3</v>
      </c>
      <c r="G18" s="1" t="s">
        <v>16</v>
      </c>
    </row>
    <row r="19" spans="1:26" customHeight="1" ht="15" s="1" customFormat="1">
      <c r="F19" s="1" t="s">
        <v>5</v>
      </c>
      <c r="G19" s="1" t="s">
        <v>17</v>
      </c>
    </row>
    <row r="20" spans="1:26" customHeight="1" ht="15" s="1" customFormat="1">
      <c r="F20" s="1" t="s">
        <v>18</v>
      </c>
      <c r="G20" s="5">
        <v>20612452432</v>
      </c>
    </row>
    <row r="21" spans="1:26" customHeight="1" ht="15" s="1" customFormat="1">
      <c r="F21" s="1" t="s">
        <v>19</v>
      </c>
      <c r="G21" s="6" t="s">
        <v>20</v>
      </c>
    </row>
    <row r="22" spans="1:26" customHeight="1" ht="15" s="1" customFormat="1">
      <c r="F22" s="1" t="s">
        <v>21</v>
      </c>
      <c r="G22" s="7" t="s">
        <v>22</v>
      </c>
    </row>
    <row r="23" spans="1:26" s="1" customFormat="1"/>
    <row r="24" spans="1:26" customHeight="1" ht="21.5" s="1" customFormat="1"/>
    <row r="25" spans="1:26" s="1" customFormat="1">
      <c r="A25" s="55"/>
      <c r="B25" s="37" t="s">
        <v>23</v>
      </c>
      <c r="C25" s="61" t="s">
        <v>24</v>
      </c>
      <c r="D25" s="63" t="s">
        <v>25</v>
      </c>
      <c r="E25" s="50" t="s">
        <v>26</v>
      </c>
      <c r="F25" s="50"/>
      <c r="G25" s="50"/>
      <c r="H25" s="50"/>
      <c r="I25" s="50"/>
      <c r="J25" s="50"/>
      <c r="K25" s="50"/>
      <c r="L25" s="50"/>
      <c r="M25" s="50" t="s">
        <v>27</v>
      </c>
      <c r="N25" s="50"/>
      <c r="O25" s="50" t="s">
        <v>28</v>
      </c>
      <c r="P25" s="50"/>
      <c r="Q25" s="39" t="s">
        <v>29</v>
      </c>
      <c r="R25" s="65" t="s">
        <v>30</v>
      </c>
      <c r="S25" s="67" t="s">
        <v>31</v>
      </c>
      <c r="T25" s="69" t="s">
        <v>32</v>
      </c>
      <c r="U25" s="56"/>
      <c r="V25" s="56"/>
      <c r="W25" s="55"/>
      <c r="X25" s="55"/>
      <c r="Y25" s="55"/>
      <c r="Z25" s="55"/>
    </row>
    <row r="26" spans="1:26" customHeight="1" ht="23" s="1" customFormat="1">
      <c r="B26" s="38">
        <v>1</v>
      </c>
      <c r="C26" s="62" t="s">
        <v>33</v>
      </c>
      <c r="D26" s="64" t="s">
        <v>34</v>
      </c>
      <c r="E26" s="46" t="s">
        <v>35</v>
      </c>
      <c r="F26" s="47"/>
      <c r="G26" s="47"/>
      <c r="H26" s="47"/>
      <c r="I26" s="47"/>
      <c r="J26" s="47"/>
      <c r="K26" s="47"/>
      <c r="L26" s="48"/>
      <c r="M26" s="40">
        <v>65</v>
      </c>
      <c r="N26" s="40" t="s">
        <v>36</v>
      </c>
      <c r="O26" s="41">
        <v>16.392307692308</v>
      </c>
      <c r="P26" s="40" t="s">
        <v>36</v>
      </c>
      <c r="Q26" s="42" t="str">
        <f>O26*M26</f>
        <v>0</v>
      </c>
      <c r="R26" s="66">
        <v>0</v>
      </c>
      <c r="S26" s="68" t="s">
        <v>37</v>
      </c>
      <c r="T26" s="70">
        <v>1</v>
      </c>
    </row>
    <row r="27" spans="1:26" customHeight="1" ht="23" s="1" customFormat="1">
      <c r="B27" s="38">
        <v>2</v>
      </c>
      <c r="C27" s="62"/>
      <c r="D27" s="64"/>
      <c r="E27" s="46" t="s">
        <v>38</v>
      </c>
      <c r="F27" s="47"/>
      <c r="G27" s="47"/>
      <c r="H27" s="47"/>
      <c r="I27" s="47"/>
      <c r="J27" s="47"/>
      <c r="K27" s="47"/>
      <c r="L27" s="48"/>
      <c r="M27" s="40">
        <v>6</v>
      </c>
      <c r="N27" s="40" t="s">
        <v>36</v>
      </c>
      <c r="O27" s="41">
        <v>31.333333333333</v>
      </c>
      <c r="P27" s="40" t="s">
        <v>36</v>
      </c>
      <c r="Q27" s="42" t="str">
        <f>O27*M27</f>
        <v>0</v>
      </c>
      <c r="R27" s="66">
        <v>0</v>
      </c>
      <c r="S27" s="68" t="s">
        <v>37</v>
      </c>
      <c r="T27" s="70"/>
    </row>
    <row r="28" spans="1:26" customHeight="1" ht="23" s="1" customFormat="1">
      <c r="B28" s="38">
        <v>3</v>
      </c>
      <c r="C28" s="62"/>
      <c r="D28" s="64"/>
      <c r="E28" s="46" t="s">
        <v>39</v>
      </c>
      <c r="F28" s="47"/>
      <c r="G28" s="47"/>
      <c r="H28" s="47"/>
      <c r="I28" s="47"/>
      <c r="J28" s="47"/>
      <c r="K28" s="47"/>
      <c r="L28" s="48"/>
      <c r="M28" s="40">
        <v>1</v>
      </c>
      <c r="N28" s="40" t="s">
        <v>36</v>
      </c>
      <c r="O28" s="41">
        <v>26.18</v>
      </c>
      <c r="P28" s="40" t="s">
        <v>36</v>
      </c>
      <c r="Q28" s="42" t="str">
        <f>O28*M28</f>
        <v>0</v>
      </c>
      <c r="R28" s="66">
        <v>0</v>
      </c>
      <c r="S28" s="68" t="s">
        <v>37</v>
      </c>
      <c r="T28" s="70"/>
    </row>
    <row r="29" spans="1:26" customHeight="1" ht="23" s="1" customFormat="1">
      <c r="B29" s="38">
        <v>4</v>
      </c>
      <c r="C29" s="62"/>
      <c r="D29" s="64"/>
      <c r="E29" s="46" t="s">
        <v>40</v>
      </c>
      <c r="F29" s="47"/>
      <c r="G29" s="47"/>
      <c r="H29" s="47"/>
      <c r="I29" s="47"/>
      <c r="J29" s="47"/>
      <c r="K29" s="47"/>
      <c r="L29" s="48"/>
      <c r="M29" s="40">
        <v>200</v>
      </c>
      <c r="N29" s="40" t="s">
        <v>36</v>
      </c>
      <c r="O29" s="41">
        <v>1.59</v>
      </c>
      <c r="P29" s="40" t="s">
        <v>36</v>
      </c>
      <c r="Q29" s="42" t="str">
        <f>O29*M29</f>
        <v>0</v>
      </c>
      <c r="R29" s="66">
        <v>0</v>
      </c>
      <c r="S29" s="68">
        <v>2</v>
      </c>
      <c r="T29" s="70"/>
    </row>
    <row r="30" spans="1:26" customHeight="1" ht="23" s="1" customFormat="1">
      <c r="B30" s="38">
        <v>5</v>
      </c>
      <c r="C30" s="62"/>
      <c r="D30" s="64"/>
      <c r="E30" s="46" t="s">
        <v>41</v>
      </c>
      <c r="F30" s="47"/>
      <c r="G30" s="47"/>
      <c r="H30" s="47"/>
      <c r="I30" s="47"/>
      <c r="J30" s="47"/>
      <c r="K30" s="47"/>
      <c r="L30" s="48"/>
      <c r="M30" s="40">
        <v>200</v>
      </c>
      <c r="N30" s="40" t="s">
        <v>36</v>
      </c>
      <c r="O30" s="41">
        <v>0.88</v>
      </c>
      <c r="P30" s="40" t="s">
        <v>36</v>
      </c>
      <c r="Q30" s="42" t="str">
        <f>O30*M30</f>
        <v>0</v>
      </c>
      <c r="R30" s="66">
        <v>0</v>
      </c>
      <c r="S30" s="68" t="s">
        <v>37</v>
      </c>
      <c r="T30" s="70"/>
    </row>
    <row r="31" spans="1:26" customHeight="1" ht="23" s="1" customFormat="1">
      <c r="B31" s="38">
        <v>6</v>
      </c>
      <c r="C31" s="62"/>
      <c r="D31" s="64"/>
      <c r="E31" s="46" t="s">
        <v>42</v>
      </c>
      <c r="F31" s="47"/>
      <c r="G31" s="47"/>
      <c r="H31" s="47"/>
      <c r="I31" s="47"/>
      <c r="J31" s="47"/>
      <c r="K31" s="47"/>
      <c r="L31" s="48"/>
      <c r="M31" s="40">
        <v>400</v>
      </c>
      <c r="N31" s="40" t="s">
        <v>36</v>
      </c>
      <c r="O31" s="41">
        <v>4.24625</v>
      </c>
      <c r="P31" s="40" t="s">
        <v>36</v>
      </c>
      <c r="Q31" s="42" t="str">
        <f>O31*M31</f>
        <v>0</v>
      </c>
      <c r="R31" s="66">
        <v>0.11</v>
      </c>
      <c r="S31" s="68" t="s">
        <v>37</v>
      </c>
      <c r="T31" s="70"/>
    </row>
    <row r="32" spans="1:26" customHeight="1" ht="23" s="1" customFormat="1">
      <c r="B32" s="38">
        <v>7</v>
      </c>
      <c r="C32" s="62"/>
      <c r="D32" s="64"/>
      <c r="E32" s="46" t="s">
        <v>43</v>
      </c>
      <c r="F32" s="47"/>
      <c r="G32" s="47"/>
      <c r="H32" s="47"/>
      <c r="I32" s="47"/>
      <c r="J32" s="47"/>
      <c r="K32" s="47"/>
      <c r="L32" s="48"/>
      <c r="M32" s="40">
        <v>240</v>
      </c>
      <c r="N32" s="40" t="s">
        <v>36</v>
      </c>
      <c r="O32" s="41">
        <v>3.3841666666667</v>
      </c>
      <c r="P32" s="40" t="s">
        <v>36</v>
      </c>
      <c r="Q32" s="42" t="str">
        <f>O32*M32</f>
        <v>0</v>
      </c>
      <c r="R32" s="66">
        <v>0.11</v>
      </c>
      <c r="S32" s="68" t="s">
        <v>37</v>
      </c>
      <c r="T32" s="70"/>
    </row>
    <row r="33" spans="1:26" customHeight="1" ht="23" s="1" customFormat="1">
      <c r="B33" s="38">
        <v>8</v>
      </c>
      <c r="C33" s="62"/>
      <c r="D33" s="64"/>
      <c r="E33" s="46" t="s">
        <v>44</v>
      </c>
      <c r="F33" s="47"/>
      <c r="G33" s="47"/>
      <c r="H33" s="47"/>
      <c r="I33" s="47"/>
      <c r="J33" s="47"/>
      <c r="K33" s="47"/>
      <c r="L33" s="48"/>
      <c r="M33" s="40">
        <v>30</v>
      </c>
      <c r="N33" s="40" t="s">
        <v>36</v>
      </c>
      <c r="O33" s="41">
        <v>39.9</v>
      </c>
      <c r="P33" s="40" t="s">
        <v>36</v>
      </c>
      <c r="Q33" s="42" t="str">
        <f>O33*M33</f>
        <v>0</v>
      </c>
      <c r="R33" s="66">
        <v>0</v>
      </c>
      <c r="S33" s="68" t="s">
        <v>37</v>
      </c>
      <c r="T33" s="70"/>
    </row>
    <row r="34" spans="1:26" customHeight="1" ht="23" s="1" customFormat="1">
      <c r="B34" s="38">
        <v>9</v>
      </c>
      <c r="C34" s="62"/>
      <c r="D34" s="64"/>
      <c r="E34" s="46" t="s">
        <v>45</v>
      </c>
      <c r="F34" s="47"/>
      <c r="G34" s="47"/>
      <c r="H34" s="47"/>
      <c r="I34" s="47"/>
      <c r="J34" s="47"/>
      <c r="K34" s="47"/>
      <c r="L34" s="48"/>
      <c r="M34" s="40">
        <v>300</v>
      </c>
      <c r="N34" s="40" t="s">
        <v>36</v>
      </c>
      <c r="O34" s="41">
        <v>0.9</v>
      </c>
      <c r="P34" s="40" t="s">
        <v>36</v>
      </c>
      <c r="Q34" s="42" t="str">
        <f>O34*M34</f>
        <v>0</v>
      </c>
      <c r="R34" s="66">
        <v>0</v>
      </c>
      <c r="S34" s="68" t="s">
        <v>37</v>
      </c>
      <c r="T34" s="70"/>
    </row>
    <row r="35" spans="1:26" customHeight="1" ht="23" s="1" customFormat="1">
      <c r="B35" s="38">
        <v>10</v>
      </c>
      <c r="C35" s="62"/>
      <c r="D35" s="64"/>
      <c r="E35" s="46" t="s">
        <v>46</v>
      </c>
      <c r="F35" s="47"/>
      <c r="G35" s="47"/>
      <c r="H35" s="47"/>
      <c r="I35" s="47"/>
      <c r="J35" s="47"/>
      <c r="K35" s="47"/>
      <c r="L35" s="48"/>
      <c r="M35" s="40">
        <v>6</v>
      </c>
      <c r="N35" s="40" t="s">
        <v>36</v>
      </c>
      <c r="O35" s="41">
        <v>110</v>
      </c>
      <c r="P35" s="40" t="s">
        <v>36</v>
      </c>
      <c r="Q35" s="42" t="str">
        <f>O35*M35</f>
        <v>0</v>
      </c>
      <c r="R35" s="66">
        <v>0</v>
      </c>
      <c r="S35" s="68" t="s">
        <v>37</v>
      </c>
      <c r="T35" s="70"/>
    </row>
    <row r="36" spans="1:26" customHeight="1" ht="23" s="1" customFormat="1">
      <c r="B36" s="38">
        <v>11</v>
      </c>
      <c r="C36" s="62"/>
      <c r="D36" s="64"/>
      <c r="E36" s="46" t="s">
        <v>47</v>
      </c>
      <c r="F36" s="47"/>
      <c r="G36" s="47"/>
      <c r="H36" s="47"/>
      <c r="I36" s="47"/>
      <c r="J36" s="47"/>
      <c r="K36" s="47"/>
      <c r="L36" s="48"/>
      <c r="M36" s="40">
        <v>60</v>
      </c>
      <c r="N36" s="40" t="s">
        <v>36</v>
      </c>
      <c r="O36" s="41">
        <v>3.2</v>
      </c>
      <c r="P36" s="40" t="s">
        <v>36</v>
      </c>
      <c r="Q36" s="42" t="str">
        <f>O36*M36</f>
        <v>0</v>
      </c>
      <c r="R36" s="66">
        <v>0</v>
      </c>
      <c r="S36" s="68" t="s">
        <v>37</v>
      </c>
      <c r="T36" s="70"/>
    </row>
    <row r="37" spans="1:26" customHeight="1" ht="23" s="1" customFormat="1">
      <c r="B37" s="38">
        <v>12</v>
      </c>
      <c r="C37" s="62"/>
      <c r="D37" s="64"/>
      <c r="E37" s="46" t="s">
        <v>48</v>
      </c>
      <c r="F37" s="47"/>
      <c r="G37" s="47"/>
      <c r="H37" s="47"/>
      <c r="I37" s="47"/>
      <c r="J37" s="47"/>
      <c r="K37" s="47"/>
      <c r="L37" s="48"/>
      <c r="M37" s="40">
        <v>120</v>
      </c>
      <c r="N37" s="40" t="s">
        <v>36</v>
      </c>
      <c r="O37" s="41">
        <v>2.125</v>
      </c>
      <c r="P37" s="40" t="s">
        <v>36</v>
      </c>
      <c r="Q37" s="42" t="str">
        <f>O37*M37</f>
        <v>0</v>
      </c>
      <c r="R37" s="66">
        <v>0</v>
      </c>
      <c r="S37" s="68" t="s">
        <v>37</v>
      </c>
      <c r="T37" s="70"/>
    </row>
    <row r="38" spans="1:26" customHeight="1" ht="23" s="1" customFormat="1">
      <c r="B38" s="38">
        <v>13</v>
      </c>
      <c r="C38" s="62"/>
      <c r="D38" s="64"/>
      <c r="E38" s="46" t="s">
        <v>49</v>
      </c>
      <c r="F38" s="47"/>
      <c r="G38" s="47"/>
      <c r="H38" s="47"/>
      <c r="I38" s="47"/>
      <c r="J38" s="47"/>
      <c r="K38" s="47"/>
      <c r="L38" s="48"/>
      <c r="M38" s="40">
        <v>90</v>
      </c>
      <c r="N38" s="40" t="s">
        <v>36</v>
      </c>
      <c r="O38" s="41">
        <v>3.4</v>
      </c>
      <c r="P38" s="40" t="s">
        <v>36</v>
      </c>
      <c r="Q38" s="42" t="str">
        <f>O38*M38</f>
        <v>0</v>
      </c>
      <c r="R38" s="66">
        <v>0</v>
      </c>
      <c r="S38" s="68" t="s">
        <v>37</v>
      </c>
      <c r="T38" s="70"/>
    </row>
    <row r="39" spans="1:26" customHeight="1" ht="23" s="1" customFormat="1">
      <c r="B39" s="38">
        <v>14</v>
      </c>
      <c r="C39" s="62"/>
      <c r="D39" s="64"/>
      <c r="E39" s="46" t="s">
        <v>50</v>
      </c>
      <c r="F39" s="47"/>
      <c r="G39" s="47"/>
      <c r="H39" s="47"/>
      <c r="I39" s="47"/>
      <c r="J39" s="47"/>
      <c r="K39" s="47"/>
      <c r="L39" s="48"/>
      <c r="M39" s="40">
        <v>4</v>
      </c>
      <c r="N39" s="40" t="s">
        <v>36</v>
      </c>
      <c r="O39" s="41">
        <v>380</v>
      </c>
      <c r="P39" s="40" t="s">
        <v>36</v>
      </c>
      <c r="Q39" s="42" t="str">
        <f>O39*M39</f>
        <v>0</v>
      </c>
      <c r="R39" s="66">
        <v>0</v>
      </c>
      <c r="S39" s="68" t="s">
        <v>37</v>
      </c>
      <c r="T39" s="70"/>
    </row>
    <row r="40" spans="1:26" customHeight="1" ht="23" s="1" customFormat="1">
      <c r="B40" s="38">
        <v>15</v>
      </c>
      <c r="C40" s="62"/>
      <c r="D40" s="64"/>
      <c r="E40" s="46" t="s">
        <v>51</v>
      </c>
      <c r="F40" s="47"/>
      <c r="G40" s="47"/>
      <c r="H40" s="47"/>
      <c r="I40" s="47"/>
      <c r="J40" s="47"/>
      <c r="K40" s="47"/>
      <c r="L40" s="48"/>
      <c r="M40" s="40">
        <v>2</v>
      </c>
      <c r="N40" s="40" t="s">
        <v>36</v>
      </c>
      <c r="O40" s="41">
        <v>295</v>
      </c>
      <c r="P40" s="40" t="s">
        <v>36</v>
      </c>
      <c r="Q40" s="42" t="str">
        <f>O40*M40</f>
        <v>0</v>
      </c>
      <c r="R40" s="66">
        <v>0</v>
      </c>
      <c r="S40" s="68" t="s">
        <v>37</v>
      </c>
      <c r="T40" s="70"/>
    </row>
    <row r="41" spans="1:26" customHeight="1" ht="23" s="1" customFormat="1">
      <c r="B41" s="38">
        <v>16</v>
      </c>
      <c r="C41" s="62"/>
      <c r="D41" s="64"/>
      <c r="E41" s="46" t="s">
        <v>52</v>
      </c>
      <c r="F41" s="47"/>
      <c r="G41" s="47"/>
      <c r="H41" s="47"/>
      <c r="I41" s="47"/>
      <c r="J41" s="47"/>
      <c r="K41" s="47"/>
      <c r="L41" s="48"/>
      <c r="M41" s="40">
        <v>6</v>
      </c>
      <c r="N41" s="40" t="s">
        <v>36</v>
      </c>
      <c r="O41" s="41">
        <v>125</v>
      </c>
      <c r="P41" s="40" t="s">
        <v>36</v>
      </c>
      <c r="Q41" s="42" t="str">
        <f>O41*M41</f>
        <v>0</v>
      </c>
      <c r="R41" s="66">
        <v>0</v>
      </c>
      <c r="S41" s="68" t="s">
        <v>37</v>
      </c>
      <c r="T41" s="70"/>
    </row>
    <row r="42" spans="1:26" customHeight="1" ht="23" s="1" customFormat="1">
      <c r="B42" s="38">
        <v>17</v>
      </c>
      <c r="C42" s="62"/>
      <c r="D42" s="64"/>
      <c r="E42" s="46" t="s">
        <v>53</v>
      </c>
      <c r="F42" s="47"/>
      <c r="G42" s="47"/>
      <c r="H42" s="47"/>
      <c r="I42" s="47"/>
      <c r="J42" s="47"/>
      <c r="K42" s="47"/>
      <c r="L42" s="48"/>
      <c r="M42" s="40">
        <v>36</v>
      </c>
      <c r="N42" s="40" t="s">
        <v>36</v>
      </c>
      <c r="O42" s="41">
        <v>8.6</v>
      </c>
      <c r="P42" s="40" t="s">
        <v>36</v>
      </c>
      <c r="Q42" s="42" t="str">
        <f>O42*M42</f>
        <v>0</v>
      </c>
      <c r="R42" s="66">
        <v>0</v>
      </c>
      <c r="S42" s="68" t="s">
        <v>37</v>
      </c>
      <c r="T42" s="70"/>
    </row>
    <row r="43" spans="1:26" customHeight="1" ht="23" s="1" customFormat="1">
      <c r="B43" s="38">
        <v>18</v>
      </c>
      <c r="C43" s="62"/>
      <c r="D43" s="64"/>
      <c r="E43" s="46" t="s">
        <v>54</v>
      </c>
      <c r="F43" s="47"/>
      <c r="G43" s="47"/>
      <c r="H43" s="47"/>
      <c r="I43" s="47"/>
      <c r="J43" s="47"/>
      <c r="K43" s="47"/>
      <c r="L43" s="48"/>
      <c r="M43" s="40">
        <v>700</v>
      </c>
      <c r="N43" s="40" t="s">
        <v>55</v>
      </c>
      <c r="O43" s="41">
        <v>1.885</v>
      </c>
      <c r="P43" s="40" t="s">
        <v>55</v>
      </c>
      <c r="Q43" s="42" t="str">
        <f>O43*M43</f>
        <v>0</v>
      </c>
      <c r="R43" s="66">
        <v>0</v>
      </c>
      <c r="S43" s="68" t="s">
        <v>37</v>
      </c>
      <c r="T43" s="70"/>
    </row>
    <row r="44" spans="1:26" customHeight="1" ht="23" s="1" customFormat="1">
      <c r="B44" s="38">
        <v>19</v>
      </c>
      <c r="C44" s="62"/>
      <c r="D44" s="64"/>
      <c r="E44" s="46" t="s">
        <v>56</v>
      </c>
      <c r="F44" s="47"/>
      <c r="G44" s="47"/>
      <c r="H44" s="47"/>
      <c r="I44" s="47"/>
      <c r="J44" s="47"/>
      <c r="K44" s="47"/>
      <c r="L44" s="48"/>
      <c r="M44" s="40">
        <v>4</v>
      </c>
      <c r="N44" s="40" t="s">
        <v>36</v>
      </c>
      <c r="O44" s="41">
        <v>7.1</v>
      </c>
      <c r="P44" s="40" t="s">
        <v>36</v>
      </c>
      <c r="Q44" s="42" t="str">
        <f>O44*M44</f>
        <v>0</v>
      </c>
      <c r="R44" s="66">
        <v>0</v>
      </c>
      <c r="S44" s="68" t="s">
        <v>37</v>
      </c>
      <c r="T44" s="70"/>
    </row>
    <row r="45" spans="1:26" customHeight="1" ht="23" s="1" customFormat="1">
      <c r="B45" s="38">
        <v>20</v>
      </c>
      <c r="C45" s="62"/>
      <c r="D45" s="64"/>
      <c r="E45" s="46" t="s">
        <v>57</v>
      </c>
      <c r="F45" s="47"/>
      <c r="G45" s="47"/>
      <c r="H45" s="47"/>
      <c r="I45" s="47"/>
      <c r="J45" s="47"/>
      <c r="K45" s="47"/>
      <c r="L45" s="48"/>
      <c r="M45" s="40">
        <v>10</v>
      </c>
      <c r="N45" s="40" t="s">
        <v>36</v>
      </c>
      <c r="O45" s="41">
        <v>4.4</v>
      </c>
      <c r="P45" s="40" t="s">
        <v>36</v>
      </c>
      <c r="Q45" s="42" t="str">
        <f>O45*M45</f>
        <v>0</v>
      </c>
      <c r="R45" s="66">
        <v>0</v>
      </c>
      <c r="S45" s="68" t="s">
        <v>37</v>
      </c>
      <c r="T45" s="70"/>
    </row>
    <row r="46" spans="1:26" customHeight="1" ht="23" s="1" customFormat="1">
      <c r="B46" s="38">
        <v>21</v>
      </c>
      <c r="C46" s="62"/>
      <c r="D46" s="64"/>
      <c r="E46" s="46" t="s">
        <v>58</v>
      </c>
      <c r="F46" s="47"/>
      <c r="G46" s="47"/>
      <c r="H46" s="47"/>
      <c r="I46" s="47"/>
      <c r="J46" s="47"/>
      <c r="K46" s="47"/>
      <c r="L46" s="48"/>
      <c r="M46" s="40">
        <v>20</v>
      </c>
      <c r="N46" s="40" t="s">
        <v>36</v>
      </c>
      <c r="O46" s="41">
        <v>5.8</v>
      </c>
      <c r="P46" s="40" t="s">
        <v>36</v>
      </c>
      <c r="Q46" s="42" t="str">
        <f>O46*M46</f>
        <v>0</v>
      </c>
      <c r="R46" s="66">
        <v>0</v>
      </c>
      <c r="S46" s="68" t="s">
        <v>37</v>
      </c>
      <c r="T46" s="70"/>
    </row>
    <row r="47" spans="1:26" customHeight="1" ht="23" s="1" customFormat="1">
      <c r="B47" s="38">
        <v>22</v>
      </c>
      <c r="C47" s="62"/>
      <c r="D47" s="64"/>
      <c r="E47" s="46" t="s">
        <v>59</v>
      </c>
      <c r="F47" s="47"/>
      <c r="G47" s="47"/>
      <c r="H47" s="47"/>
      <c r="I47" s="47"/>
      <c r="J47" s="47"/>
      <c r="K47" s="47"/>
      <c r="L47" s="48"/>
      <c r="M47" s="40">
        <v>9</v>
      </c>
      <c r="N47" s="40" t="s">
        <v>36</v>
      </c>
      <c r="O47" s="41">
        <v>10</v>
      </c>
      <c r="P47" s="40" t="s">
        <v>36</v>
      </c>
      <c r="Q47" s="42" t="str">
        <f>O47*M47</f>
        <v>0</v>
      </c>
      <c r="R47" s="66">
        <v>0</v>
      </c>
      <c r="S47" s="68" t="s">
        <v>37</v>
      </c>
      <c r="T47" s="70"/>
    </row>
    <row r="48" spans="1:26" customHeight="1" ht="23" s="1" customFormat="1">
      <c r="B48" s="38">
        <v>23</v>
      </c>
      <c r="C48" s="62"/>
      <c r="D48" s="64"/>
      <c r="E48" s="46" t="s">
        <v>60</v>
      </c>
      <c r="F48" s="47"/>
      <c r="G48" s="47"/>
      <c r="H48" s="47"/>
      <c r="I48" s="47"/>
      <c r="J48" s="47"/>
      <c r="K48" s="47"/>
      <c r="L48" s="48"/>
      <c r="M48" s="40">
        <v>80</v>
      </c>
      <c r="N48" s="40" t="s">
        <v>36</v>
      </c>
      <c r="O48" s="41">
        <v>4.19</v>
      </c>
      <c r="P48" s="40" t="s">
        <v>36</v>
      </c>
      <c r="Q48" s="42" t="str">
        <f>O48*M48</f>
        <v>0</v>
      </c>
      <c r="R48" s="66">
        <v>0</v>
      </c>
      <c r="S48" s="68" t="s">
        <v>37</v>
      </c>
      <c r="T48" s="70"/>
    </row>
    <row r="49" spans="1:26" customHeight="1" ht="23" s="1" customFormat="1">
      <c r="B49" s="38">
        <v>24</v>
      </c>
      <c r="C49" s="62"/>
      <c r="D49" s="64"/>
      <c r="E49" s="46" t="s">
        <v>61</v>
      </c>
      <c r="F49" s="47"/>
      <c r="G49" s="47"/>
      <c r="H49" s="47"/>
      <c r="I49" s="47"/>
      <c r="J49" s="47"/>
      <c r="K49" s="47"/>
      <c r="L49" s="48"/>
      <c r="M49" s="40">
        <v>320</v>
      </c>
      <c r="N49" s="40" t="s">
        <v>36</v>
      </c>
      <c r="O49" s="41">
        <v>1.9025</v>
      </c>
      <c r="P49" s="40" t="s">
        <v>36</v>
      </c>
      <c r="Q49" s="42" t="str">
        <f>O49*M49</f>
        <v>0</v>
      </c>
      <c r="R49" s="66">
        <v>0</v>
      </c>
      <c r="S49" s="68" t="s">
        <v>37</v>
      </c>
      <c r="T49" s="70"/>
    </row>
    <row r="50" spans="1:26" customHeight="1" ht="23" s="1" customFormat="1">
      <c r="B50" s="38">
        <v>25</v>
      </c>
      <c r="C50" s="62"/>
      <c r="D50" s="64"/>
      <c r="E50" s="46" t="s">
        <v>62</v>
      </c>
      <c r="F50" s="47"/>
      <c r="G50" s="47"/>
      <c r="H50" s="47"/>
      <c r="I50" s="47"/>
      <c r="J50" s="47"/>
      <c r="K50" s="47"/>
      <c r="L50" s="48"/>
      <c r="M50" s="40">
        <v>240</v>
      </c>
      <c r="N50" s="40" t="s">
        <v>36</v>
      </c>
      <c r="O50" s="41">
        <v>0.62333333333333</v>
      </c>
      <c r="P50" s="40" t="s">
        <v>36</v>
      </c>
      <c r="Q50" s="42" t="str">
        <f>O50*M50</f>
        <v>0</v>
      </c>
      <c r="R50" s="66">
        <v>0</v>
      </c>
      <c r="S50" s="68" t="s">
        <v>37</v>
      </c>
      <c r="T50" s="70"/>
    </row>
    <row r="51" spans="1:26" customHeight="1" ht="23" s="1" customFormat="1">
      <c r="B51" s="38">
        <v>26</v>
      </c>
      <c r="C51" s="62" t="s">
        <v>33</v>
      </c>
      <c r="D51" s="64" t="s">
        <v>63</v>
      </c>
      <c r="E51" s="46" t="s">
        <v>64</v>
      </c>
      <c r="F51" s="47"/>
      <c r="G51" s="47"/>
      <c r="H51" s="47"/>
      <c r="I51" s="47"/>
      <c r="J51" s="47"/>
      <c r="K51" s="47"/>
      <c r="L51" s="48"/>
      <c r="M51" s="40">
        <v>20</v>
      </c>
      <c r="N51" s="40" t="s">
        <v>55</v>
      </c>
      <c r="O51" s="41">
        <v>17.28</v>
      </c>
      <c r="P51" s="40" t="s">
        <v>55</v>
      </c>
      <c r="Q51" s="42" t="str">
        <f>O51*M51</f>
        <v>0</v>
      </c>
      <c r="R51" s="66">
        <v>0</v>
      </c>
      <c r="S51" s="68" t="s">
        <v>37</v>
      </c>
      <c r="T51" s="70">
        <v>2</v>
      </c>
    </row>
    <row r="52" spans="1:26" customHeight="1" ht="23" s="1" customFormat="1">
      <c r="B52" s="38">
        <v>27</v>
      </c>
      <c r="C52" s="62"/>
      <c r="D52" s="64"/>
      <c r="E52" s="46" t="s">
        <v>65</v>
      </c>
      <c r="F52" s="47"/>
      <c r="G52" s="47"/>
      <c r="H52" s="47"/>
      <c r="I52" s="47"/>
      <c r="J52" s="47"/>
      <c r="K52" s="47"/>
      <c r="L52" s="48"/>
      <c r="M52" s="40">
        <v>15</v>
      </c>
      <c r="N52" s="40" t="s">
        <v>55</v>
      </c>
      <c r="O52" s="41">
        <v>21.03</v>
      </c>
      <c r="P52" s="40" t="s">
        <v>55</v>
      </c>
      <c r="Q52" s="42" t="str">
        <f>O52*M52</f>
        <v>0</v>
      </c>
      <c r="R52" s="66">
        <v>0</v>
      </c>
      <c r="S52" s="68" t="s">
        <v>37</v>
      </c>
      <c r="T52" s="70"/>
    </row>
    <row r="53" spans="1:26" customHeight="1" ht="23" s="1" customFormat="1">
      <c r="B53" s="38">
        <v>28</v>
      </c>
      <c r="C53" s="62"/>
      <c r="D53" s="64"/>
      <c r="E53" s="46" t="s">
        <v>66</v>
      </c>
      <c r="F53" s="47"/>
      <c r="G53" s="47"/>
      <c r="H53" s="47"/>
      <c r="I53" s="47"/>
      <c r="J53" s="47"/>
      <c r="K53" s="47"/>
      <c r="L53" s="48"/>
      <c r="M53" s="40">
        <v>10</v>
      </c>
      <c r="N53" s="40" t="s">
        <v>55</v>
      </c>
      <c r="O53" s="41">
        <v>15.94</v>
      </c>
      <c r="P53" s="40" t="s">
        <v>55</v>
      </c>
      <c r="Q53" s="42" t="str">
        <f>O53*M53</f>
        <v>0</v>
      </c>
      <c r="R53" s="66">
        <v>0</v>
      </c>
      <c r="S53" s="68" t="s">
        <v>37</v>
      </c>
      <c r="T53" s="70"/>
    </row>
    <row r="54" spans="1:26" customHeight="1" ht="23" s="1" customFormat="1">
      <c r="B54" s="38">
        <v>29</v>
      </c>
      <c r="C54" s="62"/>
      <c r="D54" s="64"/>
      <c r="E54" s="46" t="s">
        <v>67</v>
      </c>
      <c r="F54" s="47"/>
      <c r="G54" s="47"/>
      <c r="H54" s="47"/>
      <c r="I54" s="47"/>
      <c r="J54" s="47"/>
      <c r="K54" s="47"/>
      <c r="L54" s="48"/>
      <c r="M54" s="40">
        <v>10</v>
      </c>
      <c r="N54" s="40" t="s">
        <v>55</v>
      </c>
      <c r="O54" s="41">
        <v>14.65</v>
      </c>
      <c r="P54" s="40" t="s">
        <v>55</v>
      </c>
      <c r="Q54" s="42" t="str">
        <f>O54*M54</f>
        <v>0</v>
      </c>
      <c r="R54" s="66">
        <v>0</v>
      </c>
      <c r="S54" s="68" t="s">
        <v>37</v>
      </c>
      <c r="T54" s="70"/>
    </row>
    <row r="55" spans="1:26" customHeight="1" ht="23" s="1" customFormat="1">
      <c r="B55" s="38">
        <v>30</v>
      </c>
      <c r="C55" s="62"/>
      <c r="D55" s="64"/>
      <c r="E55" s="46" t="s">
        <v>68</v>
      </c>
      <c r="F55" s="47"/>
      <c r="G55" s="47"/>
      <c r="H55" s="47"/>
      <c r="I55" s="47"/>
      <c r="J55" s="47"/>
      <c r="K55" s="47"/>
      <c r="L55" s="48"/>
      <c r="M55" s="40">
        <v>10</v>
      </c>
      <c r="N55" s="40" t="s">
        <v>55</v>
      </c>
      <c r="O55" s="41">
        <v>17.39</v>
      </c>
      <c r="P55" s="40" t="s">
        <v>55</v>
      </c>
      <c r="Q55" s="42" t="str">
        <f>O55*M55</f>
        <v>0</v>
      </c>
      <c r="R55" s="66">
        <v>0</v>
      </c>
      <c r="S55" s="68" t="s">
        <v>37</v>
      </c>
      <c r="T55" s="70"/>
    </row>
    <row r="56" spans="1:26" customHeight="1" ht="23" s="1" customFormat="1">
      <c r="B56" s="38">
        <v>31</v>
      </c>
      <c r="C56" s="62"/>
      <c r="D56" s="64"/>
      <c r="E56" s="46" t="s">
        <v>69</v>
      </c>
      <c r="F56" s="47"/>
      <c r="G56" s="47"/>
      <c r="H56" s="47"/>
      <c r="I56" s="47"/>
      <c r="J56" s="47"/>
      <c r="K56" s="47"/>
      <c r="L56" s="48"/>
      <c r="M56" s="40">
        <v>60</v>
      </c>
      <c r="N56" s="40" t="s">
        <v>36</v>
      </c>
      <c r="O56" s="41">
        <v>11</v>
      </c>
      <c r="P56" s="40" t="s">
        <v>36</v>
      </c>
      <c r="Q56" s="42" t="str">
        <f>O56*M56</f>
        <v>0</v>
      </c>
      <c r="R56" s="66">
        <v>0</v>
      </c>
      <c r="S56" s="68" t="s">
        <v>37</v>
      </c>
      <c r="T56" s="70"/>
    </row>
    <row r="57" spans="1:26" customHeight="1" ht="23" s="1" customFormat="1">
      <c r="B57" s="38">
        <v>32</v>
      </c>
      <c r="C57" s="62"/>
      <c r="D57" s="64"/>
      <c r="E57" s="46" t="s">
        <v>70</v>
      </c>
      <c r="F57" s="47"/>
      <c r="G57" s="47"/>
      <c r="H57" s="47"/>
      <c r="I57" s="47"/>
      <c r="J57" s="47"/>
      <c r="K57" s="47"/>
      <c r="L57" s="48"/>
      <c r="M57" s="40">
        <v>150</v>
      </c>
      <c r="N57" s="40" t="s">
        <v>55</v>
      </c>
      <c r="O57" s="41">
        <v>1.8</v>
      </c>
      <c r="P57" s="40" t="s">
        <v>55</v>
      </c>
      <c r="Q57" s="42" t="str">
        <f>O57*M57</f>
        <v>0</v>
      </c>
      <c r="R57" s="66">
        <v>0</v>
      </c>
      <c r="S57" s="68" t="s">
        <v>37</v>
      </c>
      <c r="T57" s="70"/>
    </row>
    <row r="58" spans="1:26" customHeight="1" ht="23" s="1" customFormat="1">
      <c r="B58" s="38">
        <v>33</v>
      </c>
      <c r="C58" s="62"/>
      <c r="D58" s="64"/>
      <c r="E58" s="46" t="s">
        <v>71</v>
      </c>
      <c r="F58" s="47"/>
      <c r="G58" s="47"/>
      <c r="H58" s="47"/>
      <c r="I58" s="47"/>
      <c r="J58" s="47"/>
      <c r="K58" s="47"/>
      <c r="L58" s="48"/>
      <c r="M58" s="40">
        <v>650</v>
      </c>
      <c r="N58" s="40" t="s">
        <v>55</v>
      </c>
      <c r="O58" s="41">
        <v>1.3884615384615</v>
      </c>
      <c r="P58" s="40" t="s">
        <v>55</v>
      </c>
      <c r="Q58" s="42" t="str">
        <f>O58*M58</f>
        <v>0</v>
      </c>
      <c r="R58" s="66">
        <v>0</v>
      </c>
      <c r="S58" s="68" t="s">
        <v>37</v>
      </c>
      <c r="T58" s="70"/>
    </row>
    <row r="59" spans="1:26" customHeight="1" ht="23" s="1" customFormat="1">
      <c r="B59" s="38">
        <v>34</v>
      </c>
      <c r="C59" s="62"/>
      <c r="D59" s="64"/>
      <c r="E59" s="46" t="s">
        <v>72</v>
      </c>
      <c r="F59" s="47"/>
      <c r="G59" s="47"/>
      <c r="H59" s="47"/>
      <c r="I59" s="47"/>
      <c r="J59" s="47"/>
      <c r="K59" s="47"/>
      <c r="L59" s="48"/>
      <c r="M59" s="40">
        <v>15</v>
      </c>
      <c r="N59" s="40" t="s">
        <v>36</v>
      </c>
      <c r="O59" s="41">
        <v>7.9</v>
      </c>
      <c r="P59" s="40" t="s">
        <v>36</v>
      </c>
      <c r="Q59" s="42" t="str">
        <f>O59*M59</f>
        <v>0</v>
      </c>
      <c r="R59" s="66">
        <v>0</v>
      </c>
      <c r="S59" s="68" t="s">
        <v>37</v>
      </c>
      <c r="T59" s="70"/>
    </row>
    <row r="60" spans="1:26" customHeight="1" ht="23" s="1" customFormat="1">
      <c r="B60" s="38">
        <v>35</v>
      </c>
      <c r="C60" s="62"/>
      <c r="D60" s="64"/>
      <c r="E60" s="46" t="s">
        <v>73</v>
      </c>
      <c r="F60" s="47"/>
      <c r="G60" s="47"/>
      <c r="H60" s="47"/>
      <c r="I60" s="47"/>
      <c r="J60" s="47"/>
      <c r="K60" s="47"/>
      <c r="L60" s="48"/>
      <c r="M60" s="40">
        <v>20</v>
      </c>
      <c r="N60" s="40" t="s">
        <v>36</v>
      </c>
      <c r="O60" s="41">
        <v>9.2</v>
      </c>
      <c r="P60" s="40" t="s">
        <v>36</v>
      </c>
      <c r="Q60" s="42" t="str">
        <f>O60*M60</f>
        <v>0</v>
      </c>
      <c r="R60" s="66">
        <v>0</v>
      </c>
      <c r="S60" s="68" t="s">
        <v>37</v>
      </c>
      <c r="T60" s="70"/>
    </row>
    <row r="61" spans="1:26" customHeight="1" ht="23" s="1" customFormat="1">
      <c r="B61" s="38">
        <v>36</v>
      </c>
      <c r="C61" s="62"/>
      <c r="D61" s="64"/>
      <c r="E61" s="46" t="s">
        <v>74</v>
      </c>
      <c r="F61" s="47"/>
      <c r="G61" s="47"/>
      <c r="H61" s="47"/>
      <c r="I61" s="47"/>
      <c r="J61" s="47"/>
      <c r="K61" s="47"/>
      <c r="L61" s="48"/>
      <c r="M61" s="40">
        <v>20</v>
      </c>
      <c r="N61" s="40" t="s">
        <v>36</v>
      </c>
      <c r="O61" s="41">
        <v>8.6</v>
      </c>
      <c r="P61" s="40" t="s">
        <v>36</v>
      </c>
      <c r="Q61" s="42" t="str">
        <f>O61*M61</f>
        <v>0</v>
      </c>
      <c r="R61" s="66">
        <v>0</v>
      </c>
      <c r="S61" s="68" t="s">
        <v>37</v>
      </c>
      <c r="T61" s="70"/>
    </row>
    <row r="62" spans="1:26" customHeight="1" ht="23">
      <c r="B62" s="38">
        <v>37</v>
      </c>
      <c r="C62" s="62"/>
      <c r="D62" s="64"/>
      <c r="E62" s="46" t="s">
        <v>75</v>
      </c>
      <c r="F62" s="47"/>
      <c r="G62" s="47"/>
      <c r="H62" s="47"/>
      <c r="I62" s="47"/>
      <c r="J62" s="47"/>
      <c r="K62" s="47"/>
      <c r="L62" s="48"/>
      <c r="M62" s="40">
        <v>40</v>
      </c>
      <c r="N62" s="40" t="s">
        <v>36</v>
      </c>
      <c r="O62" s="57">
        <v>4.6</v>
      </c>
      <c r="P62" s="40" t="s">
        <v>36</v>
      </c>
      <c r="Q62" s="58" t="str">
        <f>M62*O62</f>
        <v>0</v>
      </c>
      <c r="R62" s="66">
        <v>0</v>
      </c>
      <c r="S62" s="68" t="s">
        <v>37</v>
      </c>
      <c r="T62" s="70"/>
    </row>
    <row r="63" spans="1:26" customHeight="1" ht="23">
      <c r="B63" s="38">
        <v>38</v>
      </c>
      <c r="C63" s="62"/>
      <c r="D63" s="64"/>
      <c r="E63" s="46" t="s">
        <v>76</v>
      </c>
      <c r="F63" s="47"/>
      <c r="G63" s="47"/>
      <c r="H63" s="47"/>
      <c r="I63" s="47"/>
      <c r="J63" s="47"/>
      <c r="K63" s="47"/>
      <c r="L63" s="48"/>
      <c r="M63" s="40">
        <v>350</v>
      </c>
      <c r="N63" s="40" t="s">
        <v>36</v>
      </c>
      <c r="O63" s="57">
        <v>1.1285714285714</v>
      </c>
      <c r="P63" s="40" t="s">
        <v>36</v>
      </c>
      <c r="Q63" s="58" t="str">
        <f>M63*O63</f>
        <v>0</v>
      </c>
      <c r="R63" s="66">
        <v>0</v>
      </c>
      <c r="S63" s="68" t="s">
        <v>37</v>
      </c>
      <c r="T63" s="70"/>
    </row>
    <row r="64" spans="1:26" customHeight="1" ht="23">
      <c r="B64" s="38">
        <v>39</v>
      </c>
      <c r="C64" s="62"/>
      <c r="D64" s="64"/>
      <c r="E64" s="46" t="s">
        <v>77</v>
      </c>
      <c r="F64" s="47"/>
      <c r="G64" s="47"/>
      <c r="H64" s="47"/>
      <c r="I64" s="47"/>
      <c r="J64" s="47"/>
      <c r="K64" s="47"/>
      <c r="L64" s="48"/>
      <c r="M64" s="40">
        <v>50</v>
      </c>
      <c r="N64" s="40" t="s">
        <v>36</v>
      </c>
      <c r="O64" s="57">
        <v>1.2</v>
      </c>
      <c r="P64" s="40" t="s">
        <v>36</v>
      </c>
      <c r="Q64" s="58" t="str">
        <f>M64*O64</f>
        <v>0</v>
      </c>
      <c r="R64" s="66">
        <v>0</v>
      </c>
      <c r="S64" s="68" t="s">
        <v>37</v>
      </c>
      <c r="T64" s="70"/>
    </row>
    <row r="65" spans="1:26" customHeight="1" ht="23">
      <c r="B65" s="38">
        <v>40</v>
      </c>
      <c r="C65" s="62"/>
      <c r="D65" s="64"/>
      <c r="E65" s="46" t="s">
        <v>78</v>
      </c>
      <c r="F65" s="47"/>
      <c r="G65" s="47"/>
      <c r="H65" s="47"/>
      <c r="I65" s="47"/>
      <c r="J65" s="47"/>
      <c r="K65" s="47"/>
      <c r="L65" s="48"/>
      <c r="M65" s="40">
        <v>70</v>
      </c>
      <c r="N65" s="40" t="s">
        <v>36</v>
      </c>
      <c r="O65" s="57">
        <v>2.3</v>
      </c>
      <c r="P65" s="40" t="s">
        <v>36</v>
      </c>
      <c r="Q65" s="58" t="str">
        <f>M65*O65</f>
        <v>0</v>
      </c>
      <c r="R65" s="66">
        <v>0</v>
      </c>
      <c r="S65" s="68" t="s">
        <v>37</v>
      </c>
      <c r="T65" s="70"/>
    </row>
    <row r="66" spans="1:26" customHeight="1" ht="23">
      <c r="B66" s="38">
        <v>41</v>
      </c>
      <c r="C66" s="62"/>
      <c r="D66" s="64"/>
      <c r="E66" s="46" t="s">
        <v>79</v>
      </c>
      <c r="F66" s="47"/>
      <c r="G66" s="47"/>
      <c r="H66" s="47"/>
      <c r="I66" s="47"/>
      <c r="J66" s="47"/>
      <c r="K66" s="47"/>
      <c r="L66" s="48"/>
      <c r="M66" s="40">
        <v>150</v>
      </c>
      <c r="N66" s="40" t="s">
        <v>36</v>
      </c>
      <c r="O66" s="57">
        <v>0.85</v>
      </c>
      <c r="P66" s="40" t="s">
        <v>36</v>
      </c>
      <c r="Q66" s="58" t="str">
        <f>M66*O66</f>
        <v>0</v>
      </c>
      <c r="R66" s="66">
        <v>0</v>
      </c>
      <c r="S66" s="68" t="s">
        <v>37</v>
      </c>
      <c r="T66" s="70"/>
    </row>
    <row r="67" spans="1:26" customHeight="1" ht="23">
      <c r="B67" s="38">
        <v>42</v>
      </c>
      <c r="C67" s="62"/>
      <c r="D67" s="64"/>
      <c r="E67" s="46" t="s">
        <v>80</v>
      </c>
      <c r="F67" s="47"/>
      <c r="G67" s="47"/>
      <c r="H67" s="47"/>
      <c r="I67" s="47"/>
      <c r="J67" s="47"/>
      <c r="K67" s="47"/>
      <c r="L67" s="48"/>
      <c r="M67" s="40">
        <v>1000</v>
      </c>
      <c r="N67" s="40" t="s">
        <v>36</v>
      </c>
      <c r="O67" s="57">
        <v>1.7</v>
      </c>
      <c r="P67" s="40" t="s">
        <v>36</v>
      </c>
      <c r="Q67" s="58" t="str">
        <f>M67*O67</f>
        <v>0</v>
      </c>
      <c r="R67" s="66">
        <v>0</v>
      </c>
      <c r="S67" s="68" t="s">
        <v>37</v>
      </c>
      <c r="T67" s="70"/>
    </row>
    <row r="68" spans="1:26" customHeight="1" ht="23">
      <c r="B68" s="38">
        <v>43</v>
      </c>
      <c r="C68" s="62"/>
      <c r="D68" s="64"/>
      <c r="E68" s="46" t="s">
        <v>81</v>
      </c>
      <c r="F68" s="47"/>
      <c r="G68" s="47"/>
      <c r="H68" s="47"/>
      <c r="I68" s="47"/>
      <c r="J68" s="47"/>
      <c r="K68" s="47"/>
      <c r="L68" s="48"/>
      <c r="M68" s="40">
        <v>300</v>
      </c>
      <c r="N68" s="40" t="s">
        <v>36</v>
      </c>
      <c r="O68" s="57">
        <v>4.7</v>
      </c>
      <c r="P68" s="40" t="s">
        <v>36</v>
      </c>
      <c r="Q68" s="58" t="str">
        <f>M68*O68</f>
        <v>0</v>
      </c>
      <c r="R68" s="66">
        <v>0</v>
      </c>
      <c r="S68" s="68" t="s">
        <v>37</v>
      </c>
      <c r="T68" s="70"/>
    </row>
    <row r="69" spans="1:26" customHeight="1" ht="23">
      <c r="B69" s="38">
        <v>44</v>
      </c>
      <c r="C69" s="62"/>
      <c r="D69" s="64"/>
      <c r="E69" s="46" t="s">
        <v>82</v>
      </c>
      <c r="F69" s="47"/>
      <c r="G69" s="47"/>
      <c r="H69" s="47"/>
      <c r="I69" s="47"/>
      <c r="J69" s="47"/>
      <c r="K69" s="47"/>
      <c r="L69" s="48"/>
      <c r="M69" s="40">
        <v>100</v>
      </c>
      <c r="N69" s="40" t="s">
        <v>55</v>
      </c>
      <c r="O69" s="57">
        <v>3</v>
      </c>
      <c r="P69" s="40" t="s">
        <v>55</v>
      </c>
      <c r="Q69" s="58" t="str">
        <f>M69*O69</f>
        <v>0</v>
      </c>
      <c r="R69" s="66">
        <v>0</v>
      </c>
      <c r="S69" s="68" t="s">
        <v>37</v>
      </c>
      <c r="T69" s="70"/>
    </row>
    <row r="70" spans="1:26" customHeight="1" ht="23">
      <c r="B70" s="38">
        <v>45</v>
      </c>
      <c r="C70" s="62"/>
      <c r="D70" s="64"/>
      <c r="E70" s="46" t="s">
        <v>83</v>
      </c>
      <c r="F70" s="47"/>
      <c r="G70" s="47"/>
      <c r="H70" s="47"/>
      <c r="I70" s="47"/>
      <c r="J70" s="47"/>
      <c r="K70" s="47"/>
      <c r="L70" s="48"/>
      <c r="M70" s="40">
        <v>100</v>
      </c>
      <c r="N70" s="40" t="s">
        <v>55</v>
      </c>
      <c r="O70" s="57">
        <v>2</v>
      </c>
      <c r="P70" s="40" t="s">
        <v>55</v>
      </c>
      <c r="Q70" s="58" t="str">
        <f>M70*O70</f>
        <v>0</v>
      </c>
      <c r="R70" s="66">
        <v>0</v>
      </c>
      <c r="S70" s="68" t="s">
        <v>37</v>
      </c>
      <c r="T70" s="70"/>
    </row>
    <row r="71" spans="1:26" customHeight="1" ht="23">
      <c r="B71" s="38">
        <v>46</v>
      </c>
      <c r="C71" s="62"/>
      <c r="D71" s="64"/>
      <c r="E71" s="46" t="s">
        <v>84</v>
      </c>
      <c r="F71" s="47"/>
      <c r="G71" s="47"/>
      <c r="H71" s="47"/>
      <c r="I71" s="47"/>
      <c r="J71" s="47"/>
      <c r="K71" s="47"/>
      <c r="L71" s="48"/>
      <c r="M71" s="40">
        <v>100</v>
      </c>
      <c r="N71" s="40" t="s">
        <v>55</v>
      </c>
      <c r="O71" s="57">
        <v>1.5</v>
      </c>
      <c r="P71" s="40" t="s">
        <v>55</v>
      </c>
      <c r="Q71" s="58" t="str">
        <f>M71*O71</f>
        <v>0</v>
      </c>
      <c r="R71" s="66">
        <v>0</v>
      </c>
      <c r="S71" s="68" t="s">
        <v>37</v>
      </c>
      <c r="T71" s="70"/>
    </row>
    <row r="72" spans="1:26" customHeight="1" ht="23">
      <c r="B72" s="38">
        <v>47</v>
      </c>
      <c r="C72" s="62"/>
      <c r="D72" s="64"/>
      <c r="E72" s="46" t="s">
        <v>85</v>
      </c>
      <c r="F72" s="47"/>
      <c r="G72" s="47"/>
      <c r="H72" s="47"/>
      <c r="I72" s="47"/>
      <c r="J72" s="47"/>
      <c r="K72" s="47"/>
      <c r="L72" s="48"/>
      <c r="M72" s="40">
        <v>30</v>
      </c>
      <c r="N72" s="40" t="s">
        <v>55</v>
      </c>
      <c r="O72" s="57">
        <v>14.5</v>
      </c>
      <c r="P72" s="40" t="s">
        <v>55</v>
      </c>
      <c r="Q72" s="58" t="str">
        <f>M72*O72</f>
        <v>0</v>
      </c>
      <c r="R72" s="66">
        <v>0</v>
      </c>
      <c r="S72" s="68" t="s">
        <v>37</v>
      </c>
      <c r="T72" s="70"/>
    </row>
    <row r="73" spans="1:26" customHeight="1" ht="23">
      <c r="B73" s="38">
        <v>48</v>
      </c>
      <c r="C73" s="62"/>
      <c r="D73" s="64"/>
      <c r="E73" s="46" t="s">
        <v>86</v>
      </c>
      <c r="F73" s="47"/>
      <c r="G73" s="47"/>
      <c r="H73" s="47"/>
      <c r="I73" s="47"/>
      <c r="J73" s="47"/>
      <c r="K73" s="47"/>
      <c r="L73" s="48"/>
      <c r="M73" s="40">
        <v>510</v>
      </c>
      <c r="N73" s="40" t="s">
        <v>36</v>
      </c>
      <c r="O73" s="57">
        <v>2.25</v>
      </c>
      <c r="P73" s="40" t="s">
        <v>36</v>
      </c>
      <c r="Q73" s="58" t="str">
        <f>M73*O73</f>
        <v>0</v>
      </c>
      <c r="R73" s="66">
        <v>0</v>
      </c>
      <c r="S73" s="68" t="s">
        <v>37</v>
      </c>
      <c r="T73" s="70"/>
    </row>
    <row r="74" spans="1:26" customHeight="1" ht="23">
      <c r="B74" s="38">
        <v>49</v>
      </c>
      <c r="C74" s="62"/>
      <c r="D74" s="64"/>
      <c r="E74" s="46" t="s">
        <v>87</v>
      </c>
      <c r="F74" s="47"/>
      <c r="G74" s="47"/>
      <c r="H74" s="47"/>
      <c r="I74" s="47"/>
      <c r="J74" s="47"/>
      <c r="K74" s="47"/>
      <c r="L74" s="48"/>
      <c r="M74" s="40">
        <v>200</v>
      </c>
      <c r="N74" s="40" t="s">
        <v>36</v>
      </c>
      <c r="O74" s="57">
        <v>14.02</v>
      </c>
      <c r="P74" s="40" t="s">
        <v>36</v>
      </c>
      <c r="Q74" s="58" t="str">
        <f>M74*O74</f>
        <v>0</v>
      </c>
      <c r="R74" s="66">
        <v>0</v>
      </c>
      <c r="S74" s="68" t="s">
        <v>37</v>
      </c>
      <c r="T74" s="70"/>
    </row>
    <row r="75" spans="1:26" customHeight="1" ht="23">
      <c r="B75" s="38">
        <v>50</v>
      </c>
      <c r="C75" s="62"/>
      <c r="D75" s="64"/>
      <c r="E75" s="46" t="s">
        <v>88</v>
      </c>
      <c r="F75" s="47"/>
      <c r="G75" s="47"/>
      <c r="H75" s="47"/>
      <c r="I75" s="47"/>
      <c r="J75" s="47"/>
      <c r="K75" s="47"/>
      <c r="L75" s="48"/>
      <c r="M75" s="40">
        <v>150</v>
      </c>
      <c r="N75" s="40" t="s">
        <v>36</v>
      </c>
      <c r="O75" s="57">
        <v>5.01</v>
      </c>
      <c r="P75" s="40" t="s">
        <v>36</v>
      </c>
      <c r="Q75" s="58" t="str">
        <f>M75*O75</f>
        <v>0</v>
      </c>
      <c r="R75" s="66">
        <v>0</v>
      </c>
      <c r="S75" s="68" t="s">
        <v>37</v>
      </c>
      <c r="T75" s="70"/>
    </row>
    <row r="76" spans="1:26" customHeight="1" ht="23">
      <c r="B76" s="38">
        <v>51</v>
      </c>
      <c r="C76" s="62" t="s">
        <v>89</v>
      </c>
      <c r="D76" s="64" t="s">
        <v>90</v>
      </c>
      <c r="E76" s="46" t="s">
        <v>91</v>
      </c>
      <c r="F76" s="47"/>
      <c r="G76" s="47"/>
      <c r="H76" s="47"/>
      <c r="I76" s="47"/>
      <c r="J76" s="47"/>
      <c r="K76" s="47"/>
      <c r="L76" s="48"/>
      <c r="M76" s="40">
        <v>400</v>
      </c>
      <c r="N76" s="40" t="s">
        <v>36</v>
      </c>
      <c r="O76" s="57">
        <v>0.46</v>
      </c>
      <c r="P76" s="40" t="s">
        <v>36</v>
      </c>
      <c r="Q76" s="58" t="str">
        <f>M76*O76</f>
        <v>0</v>
      </c>
      <c r="R76" s="66">
        <v>0</v>
      </c>
      <c r="S76" s="68" t="s">
        <v>37</v>
      </c>
      <c r="T76" s="70">
        <v>1.78</v>
      </c>
    </row>
    <row r="77" spans="1:26" customHeight="1" ht="23">
      <c r="B77" s="38">
        <v>52</v>
      </c>
      <c r="C77" s="62"/>
      <c r="D77" s="64"/>
      <c r="E77" s="46" t="s">
        <v>92</v>
      </c>
      <c r="F77" s="47"/>
      <c r="G77" s="47"/>
      <c r="H77" s="47"/>
      <c r="I77" s="47"/>
      <c r="J77" s="47"/>
      <c r="K77" s="47"/>
      <c r="L77" s="48"/>
      <c r="M77" s="40">
        <v>50</v>
      </c>
      <c r="N77" s="40" t="s">
        <v>36</v>
      </c>
      <c r="O77" s="57">
        <v>5.9</v>
      </c>
      <c r="P77" s="40" t="s">
        <v>36</v>
      </c>
      <c r="Q77" s="58" t="str">
        <f>M77*O77</f>
        <v>0</v>
      </c>
      <c r="R77" s="66">
        <v>0.0063</v>
      </c>
      <c r="S77" s="68" t="s">
        <v>37</v>
      </c>
      <c r="T77" s="70"/>
    </row>
    <row r="78" spans="1:26" customHeight="1" ht="23">
      <c r="B78" s="38">
        <v>53</v>
      </c>
      <c r="C78" s="62"/>
      <c r="D78" s="64"/>
      <c r="E78" s="46" t="s">
        <v>93</v>
      </c>
      <c r="F78" s="47"/>
      <c r="G78" s="47"/>
      <c r="H78" s="47"/>
      <c r="I78" s="47"/>
      <c r="J78" s="47"/>
      <c r="K78" s="47"/>
      <c r="L78" s="48"/>
      <c r="M78" s="40">
        <v>10</v>
      </c>
      <c r="N78" s="40" t="s">
        <v>36</v>
      </c>
      <c r="O78" s="57">
        <v>40</v>
      </c>
      <c r="P78" s="40" t="s">
        <v>36</v>
      </c>
      <c r="Q78" s="58" t="str">
        <f>M78*O78</f>
        <v>0</v>
      </c>
      <c r="R78" s="66">
        <v>0</v>
      </c>
      <c r="S78" s="68" t="s">
        <v>37</v>
      </c>
      <c r="T78" s="70"/>
    </row>
    <row r="79" spans="1:26" customHeight="1" ht="23">
      <c r="B79" s="38">
        <v>54</v>
      </c>
      <c r="C79" s="62"/>
      <c r="D79" s="64"/>
      <c r="E79" s="46" t="s">
        <v>94</v>
      </c>
      <c r="F79" s="47"/>
      <c r="G79" s="47"/>
      <c r="H79" s="47"/>
      <c r="I79" s="47"/>
      <c r="J79" s="47"/>
      <c r="K79" s="47"/>
      <c r="L79" s="48"/>
      <c r="M79" s="40">
        <v>1000</v>
      </c>
      <c r="N79" s="40" t="s">
        <v>36</v>
      </c>
      <c r="O79" s="57">
        <v>0.5</v>
      </c>
      <c r="P79" s="40" t="s">
        <v>36</v>
      </c>
      <c r="Q79" s="58" t="str">
        <f>M79*O79</f>
        <v>0</v>
      </c>
      <c r="R79" s="66">
        <v>0</v>
      </c>
      <c r="S79" s="68" t="s">
        <v>37</v>
      </c>
      <c r="T79" s="70"/>
    </row>
    <row r="80" spans="1:26" customHeight="1" ht="23">
      <c r="B80" s="38">
        <v>55</v>
      </c>
      <c r="C80" s="62"/>
      <c r="D80" s="64"/>
      <c r="E80" s="46" t="s">
        <v>95</v>
      </c>
      <c r="F80" s="47"/>
      <c r="G80" s="47"/>
      <c r="H80" s="47"/>
      <c r="I80" s="47"/>
      <c r="J80" s="47"/>
      <c r="K80" s="47"/>
      <c r="L80" s="48"/>
      <c r="M80" s="40">
        <v>2000</v>
      </c>
      <c r="N80" s="40" t="s">
        <v>36</v>
      </c>
      <c r="O80" s="57">
        <v>0.6</v>
      </c>
      <c r="P80" s="40" t="s">
        <v>36</v>
      </c>
      <c r="Q80" s="58" t="str">
        <f>M80*O80</f>
        <v>0</v>
      </c>
      <c r="R80" s="66">
        <v>0</v>
      </c>
      <c r="S80" s="68" t="s">
        <v>37</v>
      </c>
      <c r="T80" s="70"/>
    </row>
    <row r="81" spans="1:26" customHeight="1" ht="23">
      <c r="B81" s="38">
        <v>56</v>
      </c>
      <c r="C81" s="62"/>
      <c r="D81" s="64"/>
      <c r="E81" s="46" t="s">
        <v>96</v>
      </c>
      <c r="F81" s="47"/>
      <c r="G81" s="47"/>
      <c r="H81" s="47"/>
      <c r="I81" s="47"/>
      <c r="J81" s="47"/>
      <c r="K81" s="47"/>
      <c r="L81" s="48"/>
      <c r="M81" s="40">
        <v>500</v>
      </c>
      <c r="N81" s="40" t="s">
        <v>36</v>
      </c>
      <c r="O81" s="57">
        <v>0.3</v>
      </c>
      <c r="P81" s="40" t="s">
        <v>36</v>
      </c>
      <c r="Q81" s="58" t="str">
        <f>M81*O81</f>
        <v>0</v>
      </c>
      <c r="R81" s="66">
        <v>0</v>
      </c>
      <c r="S81" s="68" t="s">
        <v>37</v>
      </c>
      <c r="T81" s="70"/>
    </row>
    <row r="82" spans="1:26" customHeight="1" ht="23">
      <c r="B82" s="38">
        <v>57</v>
      </c>
      <c r="C82" s="62"/>
      <c r="D82" s="64"/>
      <c r="E82" s="46" t="s">
        <v>97</v>
      </c>
      <c r="F82" s="47"/>
      <c r="G82" s="47"/>
      <c r="H82" s="47"/>
      <c r="I82" s="47"/>
      <c r="J82" s="47"/>
      <c r="K82" s="47"/>
      <c r="L82" s="48"/>
      <c r="M82" s="40">
        <v>500</v>
      </c>
      <c r="N82" s="40" t="s">
        <v>36</v>
      </c>
      <c r="O82" s="57">
        <v>7.2</v>
      </c>
      <c r="P82" s="40" t="s">
        <v>36</v>
      </c>
      <c r="Q82" s="58" t="str">
        <f>M82*O82</f>
        <v>0</v>
      </c>
      <c r="R82" s="66">
        <v>0</v>
      </c>
      <c r="S82" s="68" t="s">
        <v>37</v>
      </c>
      <c r="T82" s="70"/>
    </row>
    <row r="83" spans="1:26" customHeight="1" ht="23">
      <c r="B83" s="38">
        <v>58</v>
      </c>
      <c r="C83" s="62"/>
      <c r="D83" s="64"/>
      <c r="E83" s="46" t="s">
        <v>98</v>
      </c>
      <c r="F83" s="47"/>
      <c r="G83" s="47"/>
      <c r="H83" s="47"/>
      <c r="I83" s="47"/>
      <c r="J83" s="47"/>
      <c r="K83" s="47"/>
      <c r="L83" s="48"/>
      <c r="M83" s="40">
        <v>500</v>
      </c>
      <c r="N83" s="40" t="s">
        <v>36</v>
      </c>
      <c r="O83" s="57">
        <v>10</v>
      </c>
      <c r="P83" s="40" t="s">
        <v>36</v>
      </c>
      <c r="Q83" s="58" t="str">
        <f>M83*O83</f>
        <v>0</v>
      </c>
      <c r="R83" s="66">
        <v>0</v>
      </c>
      <c r="S83" s="68" t="s">
        <v>37</v>
      </c>
      <c r="T83" s="70"/>
    </row>
    <row r="84" spans="1:26" customHeight="1" ht="23">
      <c r="B84" s="38">
        <v>59</v>
      </c>
      <c r="C84" s="62"/>
      <c r="D84" s="64"/>
      <c r="E84" s="46" t="s">
        <v>99</v>
      </c>
      <c r="F84" s="47"/>
      <c r="G84" s="47"/>
      <c r="H84" s="47"/>
      <c r="I84" s="47"/>
      <c r="J84" s="47"/>
      <c r="K84" s="47"/>
      <c r="L84" s="48"/>
      <c r="M84" s="40">
        <v>20</v>
      </c>
      <c r="N84" s="40" t="s">
        <v>36</v>
      </c>
      <c r="O84" s="57">
        <v>31.21</v>
      </c>
      <c r="P84" s="40" t="s">
        <v>36</v>
      </c>
      <c r="Q84" s="58" t="str">
        <f>M84*O84</f>
        <v>0</v>
      </c>
      <c r="R84" s="66">
        <v>0</v>
      </c>
      <c r="S84" s="68" t="s">
        <v>37</v>
      </c>
      <c r="T84" s="70"/>
    </row>
    <row r="85" spans="1:26" customHeight="1" ht="23">
      <c r="B85" s="38">
        <v>60</v>
      </c>
      <c r="C85" s="62"/>
      <c r="D85" s="64"/>
      <c r="E85" s="46" t="s">
        <v>100</v>
      </c>
      <c r="F85" s="47"/>
      <c r="G85" s="47"/>
      <c r="H85" s="47"/>
      <c r="I85" s="47"/>
      <c r="J85" s="47"/>
      <c r="K85" s="47"/>
      <c r="L85" s="48"/>
      <c r="M85" s="40">
        <v>21</v>
      </c>
      <c r="N85" s="40" t="s">
        <v>36</v>
      </c>
      <c r="O85" s="57">
        <v>43.8</v>
      </c>
      <c r="P85" s="40" t="s">
        <v>36</v>
      </c>
      <c r="Q85" s="58" t="str">
        <f>M85*O85</f>
        <v>0</v>
      </c>
      <c r="R85" s="66">
        <v>0</v>
      </c>
      <c r="S85" s="68" t="s">
        <v>37</v>
      </c>
      <c r="T85" s="70"/>
    </row>
    <row r="86" spans="1:26" customHeight="1" ht="23">
      <c r="B86" s="38">
        <v>61</v>
      </c>
      <c r="C86" s="62"/>
      <c r="D86" s="64"/>
      <c r="E86" s="46" t="s">
        <v>101</v>
      </c>
      <c r="F86" s="47"/>
      <c r="G86" s="47"/>
      <c r="H86" s="47"/>
      <c r="I86" s="47"/>
      <c r="J86" s="47"/>
      <c r="K86" s="47"/>
      <c r="L86" s="48"/>
      <c r="M86" s="40">
        <v>1000</v>
      </c>
      <c r="N86" s="40" t="s">
        <v>36</v>
      </c>
      <c r="O86" s="57">
        <v>8</v>
      </c>
      <c r="P86" s="40" t="s">
        <v>36</v>
      </c>
      <c r="Q86" s="58" t="str">
        <f>M86*O86</f>
        <v>0</v>
      </c>
      <c r="R86" s="66">
        <v>0</v>
      </c>
      <c r="S86" s="68" t="s">
        <v>37</v>
      </c>
      <c r="T86" s="70"/>
    </row>
    <row r="87" spans="1:26" customHeight="1" ht="23">
      <c r="B87" s="38">
        <v>62</v>
      </c>
      <c r="C87" s="62"/>
      <c r="D87" s="64"/>
      <c r="E87" s="46" t="s">
        <v>102</v>
      </c>
      <c r="F87" s="47"/>
      <c r="G87" s="47"/>
      <c r="H87" s="47"/>
      <c r="I87" s="47"/>
      <c r="J87" s="47"/>
      <c r="K87" s="47"/>
      <c r="L87" s="48"/>
      <c r="M87" s="40">
        <v>1000</v>
      </c>
      <c r="N87" s="40" t="s">
        <v>36</v>
      </c>
      <c r="O87" s="57">
        <v>1.2</v>
      </c>
      <c r="P87" s="40" t="s">
        <v>36</v>
      </c>
      <c r="Q87" s="58" t="str">
        <f>M87*O87</f>
        <v>0</v>
      </c>
      <c r="R87" s="66">
        <v>0</v>
      </c>
      <c r="S87" s="68" t="s">
        <v>37</v>
      </c>
      <c r="T87" s="70"/>
    </row>
    <row r="88" spans="1:26" customHeight="1" ht="23">
      <c r="B88" s="38">
        <v>63</v>
      </c>
      <c r="C88" s="62"/>
      <c r="D88" s="64"/>
      <c r="E88" s="46" t="s">
        <v>103</v>
      </c>
      <c r="F88" s="47"/>
      <c r="G88" s="47"/>
      <c r="H88" s="47"/>
      <c r="I88" s="47"/>
      <c r="J88" s="47"/>
      <c r="K88" s="47"/>
      <c r="L88" s="48"/>
      <c r="M88" s="40">
        <v>450</v>
      </c>
      <c r="N88" s="40" t="s">
        <v>36</v>
      </c>
      <c r="O88" s="57">
        <v>3.7555555555556</v>
      </c>
      <c r="P88" s="40" t="s">
        <v>36</v>
      </c>
      <c r="Q88" s="58" t="str">
        <f>M88*O88</f>
        <v>0</v>
      </c>
      <c r="R88" s="66">
        <v>0</v>
      </c>
      <c r="S88" s="68" t="s">
        <v>37</v>
      </c>
      <c r="T88" s="70"/>
    </row>
    <row r="89" spans="1:26" customHeight="1" ht="23">
      <c r="B89" s="38">
        <v>64</v>
      </c>
      <c r="C89" s="62"/>
      <c r="D89" s="64"/>
      <c r="E89" s="46" t="s">
        <v>104</v>
      </c>
      <c r="F89" s="47"/>
      <c r="G89" s="47"/>
      <c r="H89" s="47"/>
      <c r="I89" s="47"/>
      <c r="J89" s="47"/>
      <c r="K89" s="47"/>
      <c r="L89" s="48"/>
      <c r="M89" s="40">
        <v>50</v>
      </c>
      <c r="N89" s="40" t="s">
        <v>36</v>
      </c>
      <c r="O89" s="57">
        <v>1.8</v>
      </c>
      <c r="P89" s="40" t="s">
        <v>36</v>
      </c>
      <c r="Q89" s="58" t="str">
        <f>M89*O89</f>
        <v>0</v>
      </c>
      <c r="R89" s="66">
        <v>0</v>
      </c>
      <c r="S89" s="68" t="s">
        <v>37</v>
      </c>
      <c r="T89" s="70"/>
    </row>
    <row r="90" spans="1:26" customHeight="1" ht="23">
      <c r="B90" s="38">
        <v>65</v>
      </c>
      <c r="C90" s="62"/>
      <c r="D90" s="64"/>
      <c r="E90" s="46" t="s">
        <v>105</v>
      </c>
      <c r="F90" s="47"/>
      <c r="G90" s="47"/>
      <c r="H90" s="47"/>
      <c r="I90" s="47"/>
      <c r="J90" s="47"/>
      <c r="K90" s="47"/>
      <c r="L90" s="48"/>
      <c r="M90" s="40">
        <v>100</v>
      </c>
      <c r="N90" s="40" t="s">
        <v>36</v>
      </c>
      <c r="O90" s="57">
        <v>1.5</v>
      </c>
      <c r="P90" s="40" t="s">
        <v>36</v>
      </c>
      <c r="Q90" s="58" t="str">
        <f>M90*O90</f>
        <v>0</v>
      </c>
      <c r="R90" s="66">
        <v>0</v>
      </c>
      <c r="S90" s="68" t="s">
        <v>37</v>
      </c>
      <c r="T90" s="70"/>
    </row>
    <row r="91" spans="1:26" customHeight="1" ht="23">
      <c r="B91" s="38">
        <v>66</v>
      </c>
      <c r="C91" s="62"/>
      <c r="D91" s="64"/>
      <c r="E91" s="46" t="s">
        <v>106</v>
      </c>
      <c r="F91" s="47"/>
      <c r="G91" s="47"/>
      <c r="H91" s="47"/>
      <c r="I91" s="47"/>
      <c r="J91" s="47"/>
      <c r="K91" s="47"/>
      <c r="L91" s="48"/>
      <c r="M91" s="40">
        <v>20</v>
      </c>
      <c r="N91" s="40" t="s">
        <v>36</v>
      </c>
      <c r="O91" s="57">
        <v>3.5</v>
      </c>
      <c r="P91" s="40" t="s">
        <v>36</v>
      </c>
      <c r="Q91" s="58" t="str">
        <f>M91*O91</f>
        <v>0</v>
      </c>
      <c r="R91" s="66">
        <v>0</v>
      </c>
      <c r="S91" s="68" t="s">
        <v>37</v>
      </c>
      <c r="T91" s="70"/>
    </row>
    <row r="92" spans="1:26" customHeight="1" ht="23">
      <c r="B92" s="38">
        <v>67</v>
      </c>
      <c r="C92" s="62"/>
      <c r="D92" s="64"/>
      <c r="E92" s="46" t="s">
        <v>107</v>
      </c>
      <c r="F92" s="47"/>
      <c r="G92" s="47"/>
      <c r="H92" s="47"/>
      <c r="I92" s="47"/>
      <c r="J92" s="47"/>
      <c r="K92" s="47"/>
      <c r="L92" s="48"/>
      <c r="M92" s="40">
        <v>30</v>
      </c>
      <c r="N92" s="40" t="s">
        <v>36</v>
      </c>
      <c r="O92" s="57">
        <v>13.6</v>
      </c>
      <c r="P92" s="40" t="s">
        <v>36</v>
      </c>
      <c r="Q92" s="58" t="str">
        <f>M92*O92</f>
        <v>0</v>
      </c>
      <c r="R92" s="66">
        <v>0</v>
      </c>
      <c r="S92" s="68" t="s">
        <v>37</v>
      </c>
      <c r="T92" s="70"/>
    </row>
    <row r="93" spans="1:26" customHeight="1" ht="23">
      <c r="B93" s="38">
        <v>68</v>
      </c>
      <c r="C93" s="62"/>
      <c r="D93" s="64"/>
      <c r="E93" s="46" t="s">
        <v>108</v>
      </c>
      <c r="F93" s="47"/>
      <c r="G93" s="47"/>
      <c r="H93" s="47"/>
      <c r="I93" s="47"/>
      <c r="J93" s="47"/>
      <c r="K93" s="47"/>
      <c r="L93" s="48"/>
      <c r="M93" s="40">
        <v>50</v>
      </c>
      <c r="N93" s="40" t="s">
        <v>36</v>
      </c>
      <c r="O93" s="57">
        <v>3</v>
      </c>
      <c r="P93" s="40" t="s">
        <v>36</v>
      </c>
      <c r="Q93" s="58" t="str">
        <f>M93*O93</f>
        <v>0</v>
      </c>
      <c r="R93" s="66">
        <v>0</v>
      </c>
      <c r="S93" s="68" t="s">
        <v>37</v>
      </c>
      <c r="T93" s="70"/>
    </row>
    <row r="94" spans="1:26" customHeight="1" ht="23">
      <c r="B94" s="38">
        <v>69</v>
      </c>
      <c r="C94" s="62"/>
      <c r="D94" s="64"/>
      <c r="E94" s="46" t="s">
        <v>109</v>
      </c>
      <c r="F94" s="47"/>
      <c r="G94" s="47"/>
      <c r="H94" s="47"/>
      <c r="I94" s="47"/>
      <c r="J94" s="47"/>
      <c r="K94" s="47"/>
      <c r="L94" s="48"/>
      <c r="M94" s="40">
        <v>100</v>
      </c>
      <c r="N94" s="40" t="s">
        <v>36</v>
      </c>
      <c r="O94" s="57">
        <v>0.4</v>
      </c>
      <c r="P94" s="40" t="s">
        <v>36</v>
      </c>
      <c r="Q94" s="58" t="str">
        <f>M94*O94</f>
        <v>0</v>
      </c>
      <c r="R94" s="66">
        <v>0</v>
      </c>
      <c r="S94" s="68" t="s">
        <v>37</v>
      </c>
      <c r="T94" s="70"/>
    </row>
    <row r="95" spans="1:26" customHeight="1" ht="23">
      <c r="B95" s="38">
        <v>70</v>
      </c>
      <c r="C95" s="62" t="s">
        <v>33</v>
      </c>
      <c r="D95" s="64" t="s">
        <v>110</v>
      </c>
      <c r="E95" s="46" t="s">
        <v>111</v>
      </c>
      <c r="F95" s="47"/>
      <c r="G95" s="47"/>
      <c r="H95" s="47"/>
      <c r="I95" s="47"/>
      <c r="J95" s="47"/>
      <c r="K95" s="47"/>
      <c r="L95" s="48"/>
      <c r="M95" s="40">
        <v>10</v>
      </c>
      <c r="N95" s="40" t="s">
        <v>36</v>
      </c>
      <c r="O95" s="57">
        <v>4</v>
      </c>
      <c r="P95" s="40" t="s">
        <v>36</v>
      </c>
      <c r="Q95" s="58" t="str">
        <f>M95*O95</f>
        <v>0</v>
      </c>
      <c r="R95" s="66">
        <v>0</v>
      </c>
      <c r="S95" s="68" t="s">
        <v>37</v>
      </c>
      <c r="T95" s="70">
        <v>1.24</v>
      </c>
    </row>
    <row r="96" spans="1:26" customHeight="1" ht="23">
      <c r="B96" s="38">
        <v>71</v>
      </c>
      <c r="C96" s="62"/>
      <c r="D96" s="64"/>
      <c r="E96" s="46" t="s">
        <v>112</v>
      </c>
      <c r="F96" s="47"/>
      <c r="G96" s="47"/>
      <c r="H96" s="47"/>
      <c r="I96" s="47"/>
      <c r="J96" s="47"/>
      <c r="K96" s="47"/>
      <c r="L96" s="48"/>
      <c r="M96" s="40">
        <v>5</v>
      </c>
      <c r="N96" s="40" t="s">
        <v>36</v>
      </c>
      <c r="O96" s="57">
        <v>5</v>
      </c>
      <c r="P96" s="40" t="s">
        <v>36</v>
      </c>
      <c r="Q96" s="58" t="str">
        <f>M96*O96</f>
        <v>0</v>
      </c>
      <c r="R96" s="66">
        <v>0</v>
      </c>
      <c r="S96" s="68" t="s">
        <v>37</v>
      </c>
      <c r="T96" s="70"/>
    </row>
    <row r="97" spans="1:26" customHeight="1" ht="23">
      <c r="B97" s="38">
        <v>72</v>
      </c>
      <c r="C97" s="62"/>
      <c r="D97" s="64"/>
      <c r="E97" s="46" t="s">
        <v>113</v>
      </c>
      <c r="F97" s="47"/>
      <c r="G97" s="47"/>
      <c r="H97" s="47"/>
      <c r="I97" s="47"/>
      <c r="J97" s="47"/>
      <c r="K97" s="47"/>
      <c r="L97" s="48"/>
      <c r="M97" s="40">
        <v>10</v>
      </c>
      <c r="N97" s="40" t="s">
        <v>36</v>
      </c>
      <c r="O97" s="57">
        <v>4.5</v>
      </c>
      <c r="P97" s="40" t="s">
        <v>36</v>
      </c>
      <c r="Q97" s="58" t="str">
        <f>M97*O97</f>
        <v>0</v>
      </c>
      <c r="R97" s="66">
        <v>0</v>
      </c>
      <c r="S97" s="68" t="s">
        <v>37</v>
      </c>
      <c r="T97" s="70"/>
    </row>
    <row r="98" spans="1:26" customHeight="1" ht="23">
      <c r="B98" s="38">
        <v>73</v>
      </c>
      <c r="C98" s="62"/>
      <c r="D98" s="64"/>
      <c r="E98" s="46" t="s">
        <v>114</v>
      </c>
      <c r="F98" s="47"/>
      <c r="G98" s="47"/>
      <c r="H98" s="47"/>
      <c r="I98" s="47"/>
      <c r="J98" s="47"/>
      <c r="K98" s="47"/>
      <c r="L98" s="48"/>
      <c r="M98" s="40">
        <v>12</v>
      </c>
      <c r="N98" s="40" t="s">
        <v>36</v>
      </c>
      <c r="O98" s="57">
        <v>1</v>
      </c>
      <c r="P98" s="40" t="s">
        <v>36</v>
      </c>
      <c r="Q98" s="58" t="str">
        <f>M98*O98</f>
        <v>0</v>
      </c>
      <c r="R98" s="66">
        <v>0</v>
      </c>
      <c r="S98" s="68" t="s">
        <v>37</v>
      </c>
      <c r="T98" s="70"/>
    </row>
    <row r="99" spans="1:26" customHeight="1" ht="23">
      <c r="B99" s="38">
        <v>74</v>
      </c>
      <c r="C99" s="62"/>
      <c r="D99" s="64"/>
      <c r="E99" s="46" t="s">
        <v>115</v>
      </c>
      <c r="F99" s="47"/>
      <c r="G99" s="47"/>
      <c r="H99" s="47"/>
      <c r="I99" s="47"/>
      <c r="J99" s="47"/>
      <c r="K99" s="47"/>
      <c r="L99" s="48"/>
      <c r="M99" s="40">
        <v>20</v>
      </c>
      <c r="N99" s="40" t="s">
        <v>36</v>
      </c>
      <c r="O99" s="57">
        <v>3.5</v>
      </c>
      <c r="P99" s="40" t="s">
        <v>36</v>
      </c>
      <c r="Q99" s="58" t="str">
        <f>M99*O99</f>
        <v>0</v>
      </c>
      <c r="R99" s="66">
        <v>0</v>
      </c>
      <c r="S99" s="68" t="s">
        <v>37</v>
      </c>
      <c r="T99" s="70"/>
    </row>
    <row r="100" spans="1:26" customHeight="1" ht="23">
      <c r="B100" s="38">
        <v>75</v>
      </c>
      <c r="C100" s="62"/>
      <c r="D100" s="64"/>
      <c r="E100" s="46" t="s">
        <v>116</v>
      </c>
      <c r="F100" s="47"/>
      <c r="G100" s="47"/>
      <c r="H100" s="47"/>
      <c r="I100" s="47"/>
      <c r="J100" s="47"/>
      <c r="K100" s="47"/>
      <c r="L100" s="48"/>
      <c r="M100" s="40">
        <v>13</v>
      </c>
      <c r="N100" s="40" t="s">
        <v>36</v>
      </c>
      <c r="O100" s="57">
        <v>19.076923076923</v>
      </c>
      <c r="P100" s="40" t="s">
        <v>36</v>
      </c>
      <c r="Q100" s="58" t="str">
        <f>M100*O100</f>
        <v>0</v>
      </c>
      <c r="R100" s="66">
        <v>0</v>
      </c>
      <c r="S100" s="68" t="s">
        <v>37</v>
      </c>
      <c r="T100" s="70"/>
    </row>
    <row r="101" spans="1:26" customHeight="1" ht="23">
      <c r="B101" s="38">
        <v>76</v>
      </c>
      <c r="C101" s="62"/>
      <c r="D101" s="64"/>
      <c r="E101" s="46" t="s">
        <v>117</v>
      </c>
      <c r="F101" s="47"/>
      <c r="G101" s="47"/>
      <c r="H101" s="47"/>
      <c r="I101" s="47"/>
      <c r="J101" s="47"/>
      <c r="K101" s="47"/>
      <c r="L101" s="48"/>
      <c r="M101" s="40">
        <v>120</v>
      </c>
      <c r="N101" s="40" t="s">
        <v>36</v>
      </c>
      <c r="O101" s="57">
        <v>3.4</v>
      </c>
      <c r="P101" s="40" t="s">
        <v>36</v>
      </c>
      <c r="Q101" s="58" t="str">
        <f>M101*O101</f>
        <v>0</v>
      </c>
      <c r="R101" s="66">
        <v>0</v>
      </c>
      <c r="S101" s="68" t="s">
        <v>37</v>
      </c>
      <c r="T101" s="70"/>
    </row>
    <row r="102" spans="1:26" customHeight="1" ht="23">
      <c r="B102" s="38">
        <v>77</v>
      </c>
      <c r="C102" s="62"/>
      <c r="D102" s="64"/>
      <c r="E102" s="46" t="s">
        <v>118</v>
      </c>
      <c r="F102" s="47"/>
      <c r="G102" s="47"/>
      <c r="H102" s="47"/>
      <c r="I102" s="47"/>
      <c r="J102" s="47"/>
      <c r="K102" s="47"/>
      <c r="L102" s="48"/>
      <c r="M102" s="40">
        <v>5</v>
      </c>
      <c r="N102" s="40" t="s">
        <v>36</v>
      </c>
      <c r="O102" s="57">
        <v>12.8</v>
      </c>
      <c r="P102" s="40" t="s">
        <v>36</v>
      </c>
      <c r="Q102" s="58" t="str">
        <f>M102*O102</f>
        <v>0</v>
      </c>
      <c r="R102" s="66">
        <v>0</v>
      </c>
      <c r="S102" s="68" t="s">
        <v>37</v>
      </c>
      <c r="T102" s="70"/>
    </row>
    <row r="103" spans="1:26" customHeight="1" ht="23">
      <c r="B103" s="38">
        <v>78</v>
      </c>
      <c r="C103" s="62"/>
      <c r="D103" s="64"/>
      <c r="E103" s="46" t="s">
        <v>119</v>
      </c>
      <c r="F103" s="47"/>
      <c r="G103" s="47"/>
      <c r="H103" s="47"/>
      <c r="I103" s="47"/>
      <c r="J103" s="47"/>
      <c r="K103" s="47"/>
      <c r="L103" s="48"/>
      <c r="M103" s="40">
        <v>150</v>
      </c>
      <c r="N103" s="40" t="s">
        <v>36</v>
      </c>
      <c r="O103" s="57">
        <v>6.51</v>
      </c>
      <c r="P103" s="40" t="s">
        <v>36</v>
      </c>
      <c r="Q103" s="58" t="str">
        <f>M103*O103</f>
        <v>0</v>
      </c>
      <c r="R103" s="66">
        <v>0.0063</v>
      </c>
      <c r="S103" s="68" t="s">
        <v>37</v>
      </c>
      <c r="T103" s="70"/>
    </row>
    <row r="104" spans="1:26" customHeight="1" ht="21" s="1" customFormat="1">
      <c r="B104" s="43" t="s">
        <v>120</v>
      </c>
      <c r="C104" s="43"/>
      <c r="D104" s="43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5"/>
      <c r="Q104" s="15" t="str">
        <f>SUM(Q26:Q103)</f>
        <v>0</v>
      </c>
      <c r="R104" s="59"/>
      <c r="S104" s="59"/>
      <c r="T104" s="59" t="str">
        <f>SUM(T26:T103)</f>
        <v>0</v>
      </c>
    </row>
    <row r="105" spans="1:26" s="1" customFormat="1"/>
    <row r="106" spans="1:26" customHeight="1" ht="18" s="20" customFormat="1">
      <c r="B106" s="16" t="s">
        <v>121</v>
      </c>
      <c r="C106" s="16"/>
      <c r="D106" s="16"/>
      <c r="E106" s="16"/>
      <c r="F106" s="16"/>
      <c r="G106" s="17"/>
      <c r="H106" s="17"/>
      <c r="I106" s="18"/>
      <c r="J106" s="19"/>
      <c r="R106" s="1"/>
    </row>
    <row r="107" spans="1:26" customHeight="1" ht="18" s="20" customFormat="1">
      <c r="B107" s="21" t="s">
        <v>122</v>
      </c>
      <c r="C107" s="21"/>
      <c r="D107" s="21"/>
      <c r="E107" s="16"/>
      <c r="F107" s="16"/>
      <c r="G107" s="17"/>
      <c r="H107" s="22"/>
      <c r="I107" s="16"/>
      <c r="J107" s="16"/>
      <c r="R107" s="1"/>
    </row>
    <row r="108" spans="1:26" customHeight="1" ht="18" s="20" customFormat="1">
      <c r="B108" s="16"/>
      <c r="C108" s="16"/>
      <c r="D108" s="16"/>
      <c r="E108" s="16"/>
      <c r="F108" s="16"/>
      <c r="G108" s="17"/>
      <c r="H108" s="22"/>
      <c r="I108" s="16"/>
      <c r="J108" s="16"/>
      <c r="N108" s="20"/>
      <c r="R108" s="1"/>
    </row>
    <row r="109" spans="1:26" customHeight="1" ht="18" s="1" customFormat="1">
      <c r="B109" s="16" t="s">
        <v>123</v>
      </c>
      <c r="C109" s="16"/>
      <c r="D109" s="16"/>
      <c r="E109" s="16"/>
      <c r="F109" s="18"/>
      <c r="G109" s="24"/>
      <c r="H109" s="25"/>
      <c r="I109" s="16"/>
      <c r="J109" s="16"/>
      <c r="K109" s="20"/>
      <c r="L109" s="20"/>
      <c r="M109" s="20"/>
      <c r="N109" s="20"/>
      <c r="O109" s="20"/>
      <c r="P109" s="20"/>
      <c r="Q109" s="20"/>
    </row>
    <row r="110" spans="1:26" customHeight="1" ht="18" s="1" customFormat="1">
      <c r="B110" s="29" t="s">
        <v>124</v>
      </c>
      <c r="C110" s="29"/>
      <c r="D110" s="29"/>
      <c r="E110" s="30"/>
      <c r="F110" s="30"/>
      <c r="G110" s="31"/>
      <c r="H110" s="22"/>
      <c r="I110" s="16"/>
      <c r="J110" s="16"/>
      <c r="K110" s="20"/>
      <c r="L110" s="20"/>
      <c r="M110" s="20"/>
      <c r="N110" s="20"/>
      <c r="O110" s="20"/>
      <c r="P110" s="20"/>
      <c r="Q110" s="20"/>
    </row>
    <row r="111" spans="1:26" customHeight="1" ht="18" s="1" customFormat="1">
      <c r="B111" s="18"/>
      <c r="C111" s="18"/>
      <c r="D111" s="18"/>
      <c r="E111" s="30"/>
      <c r="F111" s="30"/>
      <c r="G111" s="31"/>
      <c r="H111" s="22"/>
      <c r="I111" s="16"/>
      <c r="J111" s="16"/>
      <c r="K111" s="20"/>
      <c r="L111" s="20"/>
      <c r="M111" s="20"/>
      <c r="N111" s="20"/>
      <c r="O111" s="20"/>
      <c r="P111" s="20"/>
      <c r="Q111" s="20"/>
    </row>
    <row r="112" spans="1:26" customHeight="1" ht="18" s="1" customFormat="1">
      <c r="B112" s="18"/>
      <c r="C112" s="18"/>
      <c r="D112" s="18"/>
      <c r="E112" s="16"/>
      <c r="F112" s="16"/>
      <c r="G112" s="32"/>
      <c r="H112" s="22"/>
      <c r="I112" s="18"/>
      <c r="J112" s="18"/>
      <c r="K112" s="20"/>
      <c r="L112" s="20"/>
      <c r="M112" s="20"/>
      <c r="N112" s="20"/>
      <c r="O112" s="20"/>
      <c r="P112" s="20"/>
      <c r="Q112" s="20"/>
    </row>
    <row r="113" spans="1:26" customHeight="1" ht="18" s="1" customFormat="1">
      <c r="B113" s="29" t="s">
        <v>124</v>
      </c>
      <c r="C113" s="29"/>
      <c r="D113" s="29"/>
      <c r="E113" s="30"/>
      <c r="F113" s="30"/>
      <c r="G113" s="32"/>
      <c r="H113" s="22"/>
      <c r="I113" s="18"/>
      <c r="J113" s="18"/>
      <c r="K113" s="20"/>
      <c r="L113" s="20"/>
      <c r="M113" s="20"/>
      <c r="N113" s="20"/>
      <c r="O113" s="20"/>
      <c r="P113" s="20"/>
      <c r="Q113" s="20"/>
    </row>
    <row r="114" spans="1:26" customHeight="1" ht="18" s="1" customFormat="1">
      <c r="B114" s="18"/>
      <c r="C114" s="18"/>
      <c r="D114" s="18"/>
      <c r="E114" s="30"/>
      <c r="F114" s="30"/>
      <c r="G114" s="32"/>
      <c r="H114" s="22"/>
      <c r="I114" s="18"/>
      <c r="J114" s="18"/>
      <c r="K114" s="20"/>
      <c r="L114" s="20"/>
      <c r="M114" s="20"/>
      <c r="N114" s="20"/>
      <c r="O114" s="20"/>
      <c r="P114" s="20"/>
      <c r="Q114" s="20"/>
    </row>
    <row r="115" spans="1:26" customHeight="1" ht="18" s="1" customFormat="1">
      <c r="B115" s="18"/>
      <c r="C115" s="18"/>
      <c r="D115" s="18"/>
      <c r="E115" s="30"/>
      <c r="F115" s="30"/>
      <c r="G115" s="32"/>
      <c r="H115" s="22"/>
      <c r="I115" s="18"/>
      <c r="J115" s="18"/>
      <c r="K115" s="20"/>
      <c r="L115" s="20"/>
      <c r="M115" s="20"/>
      <c r="N115" s="20"/>
      <c r="O115" s="20"/>
      <c r="P115" s="20"/>
      <c r="Q115" s="20"/>
    </row>
    <row r="116" spans="1:26" customHeight="1" ht="18" s="1" customFormat="1">
      <c r="B116" s="16"/>
      <c r="C116" s="16"/>
      <c r="D116" s="16"/>
      <c r="E116" s="16"/>
      <c r="F116" s="16"/>
      <c r="G116" s="32"/>
      <c r="H116" s="22"/>
      <c r="I116" s="18"/>
      <c r="J116" s="18"/>
      <c r="K116" s="20"/>
      <c r="L116" s="20"/>
      <c r="M116" s="20"/>
      <c r="N116" s="20"/>
      <c r="O116" s="20"/>
      <c r="P116" s="20"/>
      <c r="Q116" s="20"/>
    </row>
    <row r="117" spans="1:26" customHeight="1" ht="18" s="1" customFormat="1">
      <c r="B117" s="16"/>
      <c r="C117" s="16"/>
      <c r="D117" s="16"/>
      <c r="E117" s="16"/>
      <c r="F117" s="16"/>
      <c r="G117" s="32"/>
      <c r="H117" s="22"/>
      <c r="I117" s="18"/>
      <c r="J117" s="18"/>
      <c r="K117" s="20"/>
      <c r="L117" s="20"/>
      <c r="M117" s="20"/>
      <c r="N117" s="20"/>
      <c r="O117" s="20"/>
      <c r="P117" s="20"/>
      <c r="Q117" s="20"/>
    </row>
    <row r="118" spans="1:26" customHeight="1" ht="18" s="1" customFormat="1">
      <c r="B118" s="16"/>
      <c r="C118" s="16"/>
      <c r="D118" s="16"/>
      <c r="E118" s="16"/>
      <c r="F118" s="16"/>
      <c r="G118" s="32"/>
      <c r="H118" s="22"/>
      <c r="I118" s="18"/>
      <c r="J118" s="18"/>
      <c r="K118" s="20"/>
      <c r="L118" s="20"/>
      <c r="M118" s="20"/>
      <c r="N118" s="20"/>
      <c r="O118" s="20"/>
      <c r="P118" s="20"/>
      <c r="Q118" s="20"/>
    </row>
    <row r="119" spans="1:26" customHeight="1" ht="18" s="1" customFormat="1">
      <c r="B119" s="33" t="s">
        <v>124</v>
      </c>
      <c r="C119" s="33"/>
      <c r="D119" s="33"/>
      <c r="E119" s="16"/>
      <c r="F119" s="16"/>
      <c r="G119" s="32"/>
      <c r="H119" s="22"/>
      <c r="I119" s="18"/>
      <c r="J119" s="18"/>
      <c r="K119" s="20"/>
      <c r="L119" s="20"/>
      <c r="M119" s="20"/>
      <c r="N119" s="20"/>
      <c r="O119" s="20"/>
      <c r="P119" s="20"/>
      <c r="Q119" s="20"/>
    </row>
    <row r="120" spans="1:26" customHeight="1" ht="18" s="1" customFormat="1">
      <c r="B120" s="26"/>
      <c r="C120" s="26"/>
      <c r="D120" s="26"/>
      <c r="E120" s="30"/>
      <c r="F120" s="34"/>
      <c r="G120" s="35"/>
      <c r="H120" s="27"/>
      <c r="I120" s="26"/>
      <c r="J120" s="26"/>
      <c r="K120" s="20"/>
      <c r="L120" s="20"/>
      <c r="M120" s="20"/>
      <c r="N120" s="20"/>
      <c r="O120" s="20"/>
      <c r="P120" s="20"/>
      <c r="Q120" s="20"/>
    </row>
    <row r="121" spans="1:26" customHeight="1" ht="18" s="1" customFormat="1">
      <c r="B121" s="18"/>
      <c r="C121" s="18"/>
      <c r="D121" s="18"/>
      <c r="E121" s="16"/>
      <c r="F121" s="36"/>
      <c r="G121" s="32"/>
      <c r="H121" s="22"/>
      <c r="I121" s="18"/>
      <c r="J121" s="18"/>
      <c r="K121" s="20"/>
      <c r="L121" s="20"/>
      <c r="M121" s="20"/>
      <c r="N121" s="20"/>
      <c r="O121" s="20"/>
      <c r="P121" s="20"/>
      <c r="Q121" s="20"/>
    </row>
    <row r="122" spans="1:26" s="1" customFormat="1"/>
    <row r="123" spans="1:26" s="1" customFormat="1"/>
    <row r="124" spans="1:26" s="1" customFormat="1"/>
    <row r="125" spans="1:26" s="1" customFormat="1"/>
    <row r="126" spans="1:26" s="1" customFormat="1"/>
    <row r="127" spans="1:26" s="1" customFormat="1"/>
    <row r="128" spans="1:26" s="1" customFormat="1"/>
    <row r="129" spans="1:26" s="1" customFormat="1"/>
    <row r="130" spans="1:26" s="1" customFormat="1"/>
    <row r="131" spans="1:26" s="1" customFormat="1"/>
    <row r="132" spans="1:26" s="1" customFormat="1"/>
    <row r="133" spans="1:26" s="1" customFormat="1"/>
    <row r="134" spans="1:26" s="1" customFormat="1"/>
    <row r="135" spans="1:26" s="1" customFormat="1"/>
    <row r="136" spans="1:26" s="1" customFormat="1"/>
    <row r="137" spans="1:26" s="1" customFormat="1"/>
    <row r="138" spans="1:26" s="1" customFormat="1"/>
    <row r="139" spans="1:26" s="1" customFormat="1"/>
    <row r="140" spans="1:26" s="1" customFormat="1"/>
    <row r="141" spans="1:26" s="1" customFormat="1"/>
    <row r="142" spans="1:26" s="1" customFormat="1"/>
    <row r="143" spans="1:26" s="1" customFormat="1"/>
    <row r="144" spans="1:26" s="1" customFormat="1"/>
    <row r="145" spans="1:26" s="1" customFormat="1"/>
    <row r="146" spans="1:26" s="1" customFormat="1"/>
    <row r="147" spans="1:26" s="1" customFormat="1"/>
    <row r="148" spans="1:26" s="1" customFormat="1"/>
    <row r="149" spans="1:26" s="1" customFormat="1"/>
    <row r="150" spans="1:26" s="1" customFormat="1"/>
    <row r="151" spans="1:26" s="1" customFormat="1"/>
    <row r="152" spans="1:26" s="1" customFormat="1"/>
    <row r="153" spans="1:26" s="1" customFormat="1"/>
    <row r="154" spans="1:26" s="1" customFormat="1"/>
    <row r="155" spans="1:26" s="1" customFormat="1"/>
    <row r="156" spans="1:26" s="1" customFormat="1"/>
    <row r="157" spans="1:26" s="1" customFormat="1"/>
    <row r="158" spans="1:26" s="1" customFormat="1"/>
    <row r="159" spans="1:26" s="1" customFormat="1"/>
    <row r="160" spans="1:26" s="1" customFormat="1"/>
    <row r="161" spans="1:26" s="1" customFormat="1"/>
    <row r="162" spans="1:26" s="1" customFormat="1"/>
    <row r="163" spans="1:26" s="1" customFormat="1"/>
    <row r="164" spans="1:26" s="1" customFormat="1"/>
    <row r="165" spans="1:26" s="1" customFormat="1"/>
    <row r="166" spans="1:26" s="1" customFormat="1"/>
    <row r="167" spans="1:26" s="1" customFormat="1"/>
    <row r="168" spans="1:26" s="1" customFormat="1"/>
    <row r="169" spans="1:26" s="1" customFormat="1"/>
    <row r="170" spans="1:26" s="1" customFormat="1"/>
    <row r="171" spans="1:26" s="1" customFormat="1"/>
    <row r="172" spans="1:26" s="1" customFormat="1"/>
    <row r="173" spans="1:26" s="1" customFormat="1"/>
    <row r="174" spans="1:26" s="1" customFormat="1"/>
    <row r="175" spans="1:26" s="1" customFormat="1"/>
    <row r="176" spans="1:26" s="1" customFormat="1"/>
    <row r="177" spans="1:26" s="1" customFormat="1"/>
    <row r="178" spans="1:26" s="1" customFormat="1"/>
    <row r="179" spans="1:26" s="1" customFormat="1"/>
    <row r="180" spans="1:26" s="1" customFormat="1"/>
    <row r="181" spans="1:26" s="1" customFormat="1"/>
    <row r="182" spans="1:26" s="1" customFormat="1"/>
    <row r="183" spans="1:26" s="1" customFormat="1"/>
    <row r="184" spans="1:26" s="1" customFormat="1"/>
    <row r="185" spans="1:26" s="1" customFormat="1"/>
    <row r="186" spans="1:26" s="1" customFormat="1"/>
    <row r="187" spans="1:26" s="1" customFormat="1"/>
    <row r="188" spans="1:26" s="1" customFormat="1"/>
    <row r="189" spans="1:26" s="1" customFormat="1"/>
    <row r="190" spans="1:26" s="1" customFormat="1"/>
    <row r="191" spans="1:26" s="1" customFormat="1"/>
    <row r="192" spans="1:26" s="1" customFormat="1"/>
    <row r="193" spans="1:26" s="1" customFormat="1"/>
    <row r="194" spans="1:26" s="1" customFormat="1"/>
    <row r="195" spans="1:26" s="1" customFormat="1"/>
    <row r="196" spans="1:26" s="1" customFormat="1"/>
    <row r="197" spans="1:26" s="1" customFormat="1"/>
    <row r="198" spans="1:26" s="1" customFormat="1"/>
    <row r="199" spans="1:26" s="1" customFormat="1"/>
    <row r="200" spans="1:26" s="1" customFormat="1"/>
    <row r="201" spans="1:26" s="1" customFormat="1"/>
    <row r="202" spans="1:26" s="1" customFormat="1"/>
    <row r="203" spans="1:26" s="1" customFormat="1"/>
    <row r="204" spans="1:26" s="1" customFormat="1"/>
    <row r="205" spans="1:26" s="1" customFormat="1"/>
    <row r="206" spans="1:26" s="1" customFormat="1"/>
    <row r="207" spans="1:26" s="1" customFormat="1"/>
    <row r="208" spans="1:26" s="1" customFormat="1"/>
    <row r="209" spans="1:26" s="1" customFormat="1"/>
    <row r="210" spans="1:26" s="1" customFormat="1"/>
    <row r="211" spans="1:26" s="1" customFormat="1"/>
    <row r="212" spans="1:26" s="1" customFormat="1"/>
    <row r="213" spans="1:26" s="1" customFormat="1"/>
    <row r="214" spans="1:26" s="1" customFormat="1"/>
    <row r="215" spans="1:26" s="1" customFormat="1"/>
    <row r="216" spans="1:26" s="1" customFormat="1"/>
    <row r="217" spans="1:26" s="1" customFormat="1"/>
    <row r="218" spans="1:26" s="1" customFormat="1"/>
    <row r="219" spans="1:26" s="1" customFormat="1"/>
    <row r="220" spans="1:26" s="1" customFormat="1"/>
    <row r="221" spans="1:26" s="1" customFormat="1"/>
    <row r="222" spans="1:26" s="1" customFormat="1"/>
    <row r="223" spans="1:26" s="1" customFormat="1"/>
    <row r="224" spans="1:26" s="1" customFormat="1"/>
    <row r="225" spans="1:26" s="1" customFormat="1"/>
    <row r="226" spans="1:26" s="1" customFormat="1"/>
    <row r="227" spans="1:26" s="1" customFormat="1"/>
    <row r="228" spans="1:26" s="1" customFormat="1"/>
    <row r="229" spans="1:26" s="1" customFormat="1"/>
    <row r="230" spans="1:26" s="1" customFormat="1"/>
    <row r="231" spans="1:26" s="1" customFormat="1"/>
    <row r="232" spans="1:26" s="1" customFormat="1"/>
    <row r="233" spans="1:26" s="1" customFormat="1"/>
    <row r="234" spans="1:26" s="1" customFormat="1"/>
    <row r="235" spans="1:26" s="1" customFormat="1"/>
    <row r="236" spans="1:26" s="1" customFormat="1"/>
    <row r="237" spans="1:26" s="1" customFormat="1"/>
    <row r="238" spans="1:26" s="1" customFormat="1"/>
    <row r="239" spans="1:26" s="1" customFormat="1"/>
    <row r="240" spans="1:26" s="1" customFormat="1"/>
    <row r="241" spans="1:26" s="1" customFormat="1"/>
    <row r="242" spans="1:26" s="1" customFormat="1"/>
    <row r="243" spans="1:26" s="1" customFormat="1"/>
    <row r="244" spans="1:26" s="1" customFormat="1"/>
    <row r="245" spans="1:26" s="1" customFormat="1"/>
    <row r="246" spans="1:26" s="1" customFormat="1"/>
    <row r="247" spans="1:26" s="1" customFormat="1"/>
    <row r="248" spans="1:26" s="1" customFormat="1"/>
    <row r="249" spans="1:26" s="1" customFormat="1"/>
    <row r="250" spans="1:26" s="1" customFormat="1"/>
    <row r="251" spans="1:26" s="1" customFormat="1"/>
    <row r="252" spans="1:26" s="1" customFormat="1"/>
    <row r="253" spans="1:26" s="1" customFormat="1"/>
    <row r="254" spans="1:26" s="1" customFormat="1"/>
    <row r="255" spans="1:26" s="1" customFormat="1"/>
    <row r="256" spans="1:26" s="1" customFormat="1"/>
    <row r="257" spans="1:26" s="1" customFormat="1"/>
    <row r="258" spans="1:26" s="1" customFormat="1"/>
    <row r="259" spans="1:26" s="1" customFormat="1"/>
    <row r="260" spans="1:26" s="1" customFormat="1"/>
    <row r="261" spans="1:26" s="1" customFormat="1"/>
    <row r="262" spans="1:26" s="1" customFormat="1"/>
    <row r="263" spans="1:26" s="1" customFormat="1"/>
    <row r="264" spans="1:26" s="1" customFormat="1"/>
    <row r="265" spans="1:26" s="1" customFormat="1"/>
    <row r="266" spans="1:26" s="1" customFormat="1"/>
    <row r="267" spans="1:26" s="1" customFormat="1"/>
    <row r="268" spans="1:26" s="1" customFormat="1"/>
    <row r="269" spans="1:26" s="1" customFormat="1"/>
    <row r="270" spans="1:26" s="1" customFormat="1"/>
    <row r="271" spans="1:26" s="1" customFormat="1"/>
    <row r="272" spans="1:26" s="1" customFormat="1"/>
    <row r="273" spans="1:26" s="1" customFormat="1"/>
    <row r="274" spans="1:26" s="1" customFormat="1"/>
    <row r="275" spans="1:26" s="1" customFormat="1"/>
    <row r="276" spans="1:26" s="1" customFormat="1"/>
    <row r="277" spans="1:26" s="1" customFormat="1"/>
    <row r="278" spans="1:26" s="1" customFormat="1"/>
    <row r="279" spans="1:26" s="1" customFormat="1"/>
    <row r="280" spans="1:26" s="1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5:L55"/>
    <mergeCell ref="E58:L58"/>
    <mergeCell ref="E59:L59"/>
    <mergeCell ref="E60:L60"/>
    <mergeCell ref="F5:N7"/>
    <mergeCell ref="I8:K8"/>
    <mergeCell ref="E35:L35"/>
    <mergeCell ref="E37:L37"/>
    <mergeCell ref="E46:L46"/>
    <mergeCell ref="E47:L47"/>
    <mergeCell ref="E36:L36"/>
    <mergeCell ref="E43:L43"/>
    <mergeCell ref="E44:L44"/>
    <mergeCell ref="E45:L45"/>
    <mergeCell ref="O13:P13"/>
    <mergeCell ref="O14:P14"/>
    <mergeCell ref="O15:P15"/>
    <mergeCell ref="E33:L33"/>
    <mergeCell ref="E34:L34"/>
    <mergeCell ref="E25:L25"/>
    <mergeCell ref="M25:N25"/>
    <mergeCell ref="O25:P25"/>
    <mergeCell ref="E26:L26"/>
    <mergeCell ref="E27:L27"/>
    <mergeCell ref="E28:L28"/>
    <mergeCell ref="E29:L29"/>
    <mergeCell ref="E30:L30"/>
    <mergeCell ref="E31:L31"/>
    <mergeCell ref="E32:L32"/>
    <mergeCell ref="E57:L57"/>
    <mergeCell ref="E56:L56"/>
    <mergeCell ref="E38:L38"/>
    <mergeCell ref="E39:L39"/>
    <mergeCell ref="E40:L40"/>
    <mergeCell ref="E41:L41"/>
    <mergeCell ref="E42:L42"/>
    <mergeCell ref="E48:L48"/>
    <mergeCell ref="E49:L49"/>
    <mergeCell ref="E50:L50"/>
    <mergeCell ref="E51:L51"/>
    <mergeCell ref="E52:L52"/>
    <mergeCell ref="E53:L53"/>
    <mergeCell ref="E61:L61"/>
    <mergeCell ref="E54:L54"/>
    <mergeCell ref="C26:C50"/>
    <mergeCell ref="D26:D50"/>
    <mergeCell ref="T26:T50"/>
    <mergeCell ref="E62:L62"/>
    <mergeCell ref="E63:L63"/>
    <mergeCell ref="E64:L64"/>
    <mergeCell ref="E65:L65"/>
    <mergeCell ref="E66:L66"/>
    <mergeCell ref="E67:L67"/>
    <mergeCell ref="E68:L68"/>
    <mergeCell ref="E69:L69"/>
    <mergeCell ref="E70:L70"/>
    <mergeCell ref="E71:L71"/>
    <mergeCell ref="E72:L72"/>
    <mergeCell ref="E73:L73"/>
    <mergeCell ref="E74:L74"/>
    <mergeCell ref="E75:L75"/>
    <mergeCell ref="C51:C75"/>
    <mergeCell ref="D51:D75"/>
    <mergeCell ref="T51:T75"/>
    <mergeCell ref="E76:L76"/>
    <mergeCell ref="E77:L77"/>
    <mergeCell ref="E78:L78"/>
    <mergeCell ref="E79:L79"/>
    <mergeCell ref="E80:L80"/>
    <mergeCell ref="E81:L81"/>
    <mergeCell ref="E82:L82"/>
    <mergeCell ref="E83:L83"/>
    <mergeCell ref="E84:L84"/>
    <mergeCell ref="E85:L85"/>
    <mergeCell ref="E86:L86"/>
    <mergeCell ref="E87:L87"/>
    <mergeCell ref="E88:L88"/>
    <mergeCell ref="E89:L89"/>
    <mergeCell ref="E90:L90"/>
    <mergeCell ref="E91:L91"/>
    <mergeCell ref="E92:L92"/>
    <mergeCell ref="E93:L93"/>
    <mergeCell ref="E94:L94"/>
    <mergeCell ref="C76:C94"/>
    <mergeCell ref="D76:D94"/>
    <mergeCell ref="T76:T94"/>
    <mergeCell ref="E95:L95"/>
    <mergeCell ref="E96:L96"/>
    <mergeCell ref="E97:L97"/>
    <mergeCell ref="E98:L98"/>
    <mergeCell ref="E99:L99"/>
    <mergeCell ref="E100:L100"/>
    <mergeCell ref="E101:L101"/>
    <mergeCell ref="E102:L102"/>
    <mergeCell ref="E103:L103"/>
    <mergeCell ref="C95:C103"/>
    <mergeCell ref="D95:D103"/>
    <mergeCell ref="T95:T103"/>
    <mergeCell ref="B104:P104"/>
  </mergeCells>
  <hyperlinks>
    <hyperlink ref="G22" r:id="rId_hyperlink_1"/>
  </hyperlinks>
  <printOptions gridLines="false" gridLinesSet="true"/>
  <pageMargins left="0.7" right="0.7" top="0.75" bottom="0.75" header="0.3" footer="0.3"/>
  <pageSetup paperSize="9" orientation="portrait" scale="39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Q244"/>
  <sheetViews>
    <sheetView tabSelected="0" workbookViewId="0" zoomScale="69" zoomScaleNormal="69" showGridLines="true" showRowColHeaders="1">
      <selection activeCell="D39" sqref="D39"/>
    </sheetView>
  </sheetViews>
  <sheetFormatPr defaultRowHeight="14.4" outlineLevelRow="0" outlineLevelCol="0"/>
  <cols>
    <col min="2" max="2" width="16.5" customWidth="true" style="0"/>
    <col min="3" max="3" width="18.83203125" customWidth="true" style="0"/>
    <col min="6" max="6" width="15.6640625" customWidth="true" style="0"/>
    <col min="13" max="13" width="15.5" customWidth="true" style="0"/>
    <col min="14" max="14" width="13.83203125" customWidth="true" style="0"/>
    <col min="16" max="16" width="29.5" customWidth="true" style="0"/>
  </cols>
  <sheetData>
    <row r="1" spans="1:17" s="1" customFormat="1"/>
    <row r="2" spans="1:17" s="1" customFormat="1"/>
    <row r="3" spans="1:17" s="1" customFormat="1"/>
    <row r="4" spans="1:17" s="1" customFormat="1"/>
    <row r="5" spans="1:17" customHeight="1" ht="15" s="1" customFormat="1">
      <c r="E5" s="51" t="s">
        <v>0</v>
      </c>
      <c r="F5" s="51"/>
      <c r="G5" s="51"/>
      <c r="H5" s="51"/>
      <c r="I5" s="51"/>
      <c r="J5" s="51"/>
      <c r="K5" s="51"/>
      <c r="L5" s="51"/>
      <c r="M5" s="51"/>
    </row>
    <row r="6" spans="1:17" customHeight="1" ht="15" s="1" customFormat="1">
      <c r="E6" s="51"/>
      <c r="F6" s="51"/>
      <c r="G6" s="51"/>
      <c r="H6" s="51"/>
      <c r="I6" s="51"/>
      <c r="J6" s="51"/>
      <c r="K6" s="51"/>
      <c r="L6" s="51"/>
      <c r="M6" s="51"/>
    </row>
    <row r="7" spans="1:17" customHeight="1" ht="15" s="1" customFormat="1">
      <c r="E7" s="51"/>
      <c r="F7" s="51"/>
      <c r="G7" s="51"/>
      <c r="H7" s="51"/>
      <c r="I7" s="51"/>
      <c r="J7" s="51"/>
      <c r="K7" s="51"/>
      <c r="L7" s="51"/>
      <c r="M7" s="51"/>
    </row>
    <row r="8" spans="1:17" customHeight="1" ht="15" s="1" customFormat="1">
      <c r="H8" s="52" t="s">
        <v>1</v>
      </c>
      <c r="I8" s="52"/>
      <c r="J8" s="52"/>
    </row>
    <row r="9" spans="1:17" customHeight="1" ht="15" s="1" customFormat="1"/>
    <row r="10" spans="1:17" customHeight="1" ht="15" s="1" customFormat="1">
      <c r="B10" s="1"/>
    </row>
    <row r="11" spans="1:17" customHeight="1" ht="15" s="1" customFormat="1">
      <c r="E11" s="3" t="s">
        <v>2</v>
      </c>
      <c r="F11" s="3"/>
      <c r="G11" s="3"/>
      <c r="H11" s="3"/>
      <c r="I11" s="3"/>
      <c r="J11" s="3"/>
      <c r="K11" s="3"/>
      <c r="L11" s="3"/>
      <c r="M11" s="3"/>
    </row>
    <row r="12" spans="1:17" customHeight="1" ht="15" s="1" customFormat="1">
      <c r="E12" s="1" t="s">
        <v>3</v>
      </c>
      <c r="F12" s="1" t="s">
        <v>4</v>
      </c>
    </row>
    <row r="13" spans="1:17" customHeight="1" ht="15" s="1" customFormat="1">
      <c r="E13" s="1" t="s">
        <v>5</v>
      </c>
      <c r="F13" s="1" t="s">
        <v>6</v>
      </c>
      <c r="N13" s="49" t="s">
        <v>7</v>
      </c>
      <c r="O13" s="49"/>
      <c r="P13" s="4">
        <v>91100080</v>
      </c>
    </row>
    <row r="14" spans="1:17" customHeight="1" ht="15" s="1" customFormat="1">
      <c r="E14" s="1" t="s">
        <v>8</v>
      </c>
      <c r="F14" s="5" t="s">
        <v>9</v>
      </c>
      <c r="N14" s="49" t="s">
        <v>10</v>
      </c>
      <c r="O14" s="49"/>
      <c r="P14" s="23">
        <v>45555</v>
      </c>
    </row>
    <row r="15" spans="1:17" customHeight="1" ht="15" s="1" customFormat="1">
      <c r="E15" s="1" t="s">
        <v>11</v>
      </c>
      <c r="F15" s="1" t="s">
        <v>12</v>
      </c>
      <c r="N15" s="49" t="s">
        <v>13</v>
      </c>
      <c r="O15" s="49"/>
      <c r="P15" s="4" t="s">
        <v>14</v>
      </c>
    </row>
    <row r="16" spans="1:17" customHeight="1" ht="15" s="1" customFormat="1"/>
    <row r="17" spans="1:17" customHeight="1" ht="15" s="1" customFormat="1">
      <c r="E17" s="3" t="s">
        <v>15</v>
      </c>
      <c r="F17" s="3"/>
      <c r="G17" s="3"/>
      <c r="H17" s="3"/>
      <c r="I17" s="3"/>
      <c r="J17" s="3"/>
      <c r="K17" s="3"/>
      <c r="L17" s="3"/>
      <c r="M17" s="3"/>
    </row>
    <row r="18" spans="1:17" customHeight="1" ht="15" s="1" customFormat="1">
      <c r="E18" s="1" t="s">
        <v>3</v>
      </c>
      <c r="F18" s="1" t="s">
        <v>16</v>
      </c>
    </row>
    <row r="19" spans="1:17" customHeight="1" ht="15" s="1" customFormat="1">
      <c r="E19" s="1" t="s">
        <v>5</v>
      </c>
      <c r="F19" s="1" t="s">
        <v>17</v>
      </c>
    </row>
    <row r="20" spans="1:17" customHeight="1" ht="15" s="1" customFormat="1">
      <c r="E20" s="1" t="s">
        <v>18</v>
      </c>
      <c r="F20" s="5">
        <v>20612452432</v>
      </c>
    </row>
    <row r="21" spans="1:17" customHeight="1" ht="15" s="1" customFormat="1">
      <c r="E21" s="1" t="s">
        <v>19</v>
      </c>
      <c r="F21" s="6" t="s">
        <v>20</v>
      </c>
    </row>
    <row r="22" spans="1:17" customHeight="1" ht="15" s="1" customFormat="1">
      <c r="E22" s="1" t="s">
        <v>21</v>
      </c>
      <c r="F22" s="7" t="s">
        <v>22</v>
      </c>
    </row>
    <row r="23" spans="1:17" s="1" customFormat="1"/>
    <row r="24" spans="1:17" customHeight="1" ht="21.5" s="1" customFormat="1"/>
    <row r="25" spans="1:17" s="1" customFormat="1">
      <c r="B25" s="8" t="s">
        <v>23</v>
      </c>
      <c r="C25" s="9" t="s">
        <v>125</v>
      </c>
      <c r="D25" s="54" t="s">
        <v>26</v>
      </c>
      <c r="E25" s="54"/>
      <c r="F25" s="54"/>
      <c r="G25" s="54"/>
      <c r="H25" s="54"/>
      <c r="I25" s="54"/>
      <c r="J25" s="54"/>
      <c r="K25" s="54"/>
      <c r="L25" s="54" t="s">
        <v>27</v>
      </c>
      <c r="M25" s="54"/>
      <c r="N25" s="54" t="s">
        <v>28</v>
      </c>
      <c r="O25" s="54"/>
      <c r="P25" s="10" t="s">
        <v>29</v>
      </c>
      <c r="Q25" s="2"/>
    </row>
    <row r="26" spans="1:17" customHeight="1" ht="23" s="1" customFormat="1">
      <c r="B26" s="11">
        <v>37</v>
      </c>
      <c r="C26" s="12" t="s">
        <v>126</v>
      </c>
      <c r="D26" s="53" t="s">
        <v>75</v>
      </c>
      <c r="E26" s="53"/>
      <c r="F26" s="53"/>
      <c r="G26" s="53"/>
      <c r="H26" s="53"/>
      <c r="I26" s="53"/>
      <c r="J26" s="53"/>
      <c r="K26" s="53"/>
      <c r="L26" s="12">
        <v>40</v>
      </c>
      <c r="M26" s="28" t="s">
        <v>36</v>
      </c>
      <c r="N26" s="13">
        <v>4.6</v>
      </c>
      <c r="O26" s="12" t="s">
        <v>36</v>
      </c>
      <c r="P26" s="14" t="str">
        <f>N26*L26</f>
        <v>0</v>
      </c>
    </row>
    <row r="27" spans="1:17" customHeight="1" ht="23" s="1" customFormat="1">
      <c r="B27" s="11">
        <v>38</v>
      </c>
      <c r="C27" s="12" t="s">
        <v>126</v>
      </c>
      <c r="D27" s="53" t="s">
        <v>76</v>
      </c>
      <c r="E27" s="53"/>
      <c r="F27" s="53"/>
      <c r="G27" s="53"/>
      <c r="H27" s="53"/>
      <c r="I27" s="53"/>
      <c r="J27" s="53"/>
      <c r="K27" s="53"/>
      <c r="L27" s="12">
        <v>350</v>
      </c>
      <c r="M27" s="28" t="s">
        <v>36</v>
      </c>
      <c r="N27" s="13">
        <v>1.1285714285714</v>
      </c>
      <c r="O27" s="12" t="s">
        <v>36</v>
      </c>
      <c r="P27" s="14" t="str">
        <f>N27*L27</f>
        <v>0</v>
      </c>
    </row>
    <row r="28" spans="1:17" customHeight="1" ht="23" s="1" customFormat="1">
      <c r="B28" s="11">
        <v>39</v>
      </c>
      <c r="C28" s="12" t="s">
        <v>126</v>
      </c>
      <c r="D28" s="53" t="s">
        <v>77</v>
      </c>
      <c r="E28" s="53"/>
      <c r="F28" s="53"/>
      <c r="G28" s="53"/>
      <c r="H28" s="53"/>
      <c r="I28" s="53"/>
      <c r="J28" s="53"/>
      <c r="K28" s="53"/>
      <c r="L28" s="12">
        <v>50</v>
      </c>
      <c r="M28" s="28" t="s">
        <v>36</v>
      </c>
      <c r="N28" s="13">
        <v>1.2</v>
      </c>
      <c r="O28" s="12" t="s">
        <v>36</v>
      </c>
      <c r="P28" s="14" t="str">
        <f>N28*L28</f>
        <v>0</v>
      </c>
    </row>
    <row r="29" spans="1:17" customHeight="1" ht="23" s="1" customFormat="1">
      <c r="B29" s="11">
        <v>40</v>
      </c>
      <c r="C29" s="12" t="s">
        <v>126</v>
      </c>
      <c r="D29" s="53" t="s">
        <v>78</v>
      </c>
      <c r="E29" s="53"/>
      <c r="F29" s="53"/>
      <c r="G29" s="53"/>
      <c r="H29" s="53"/>
      <c r="I29" s="53"/>
      <c r="J29" s="53"/>
      <c r="K29" s="53"/>
      <c r="L29" s="12">
        <v>70</v>
      </c>
      <c r="M29" s="28" t="s">
        <v>36</v>
      </c>
      <c r="N29" s="13">
        <v>2.3</v>
      </c>
      <c r="O29" s="12" t="s">
        <v>36</v>
      </c>
      <c r="P29" s="14" t="str">
        <f>N29*L29</f>
        <v>0</v>
      </c>
    </row>
    <row r="30" spans="1:17" customHeight="1" ht="23" s="1" customFormat="1">
      <c r="B30" s="11">
        <v>41</v>
      </c>
      <c r="C30" s="12" t="s">
        <v>126</v>
      </c>
      <c r="D30" s="53" t="s">
        <v>79</v>
      </c>
      <c r="E30" s="53"/>
      <c r="F30" s="53"/>
      <c r="G30" s="53"/>
      <c r="H30" s="53"/>
      <c r="I30" s="53"/>
      <c r="J30" s="53"/>
      <c r="K30" s="53"/>
      <c r="L30" s="12">
        <v>150</v>
      </c>
      <c r="M30" s="28" t="s">
        <v>36</v>
      </c>
      <c r="N30" s="13">
        <v>0.85</v>
      </c>
      <c r="O30" s="12" t="s">
        <v>36</v>
      </c>
      <c r="P30" s="14" t="str">
        <f>N30*L30</f>
        <v>0</v>
      </c>
    </row>
    <row r="31" spans="1:17" customHeight="1" ht="23" s="1" customFormat="1">
      <c r="B31" s="11">
        <v>42</v>
      </c>
      <c r="C31" s="12" t="s">
        <v>126</v>
      </c>
      <c r="D31" s="53" t="s">
        <v>80</v>
      </c>
      <c r="E31" s="53"/>
      <c r="F31" s="53"/>
      <c r="G31" s="53"/>
      <c r="H31" s="53"/>
      <c r="I31" s="53"/>
      <c r="J31" s="53"/>
      <c r="K31" s="53"/>
      <c r="L31" s="12">
        <v>1000</v>
      </c>
      <c r="M31" s="28" t="s">
        <v>36</v>
      </c>
      <c r="N31" s="13">
        <v>1.7</v>
      </c>
      <c r="O31" s="12" t="s">
        <v>36</v>
      </c>
      <c r="P31" s="14" t="str">
        <f>N31*L31</f>
        <v>0</v>
      </c>
    </row>
    <row r="32" spans="1:17" customHeight="1" ht="23" s="1" customFormat="1">
      <c r="B32" s="11">
        <v>43</v>
      </c>
      <c r="C32" s="12" t="s">
        <v>126</v>
      </c>
      <c r="D32" s="53" t="s">
        <v>81</v>
      </c>
      <c r="E32" s="53"/>
      <c r="F32" s="53"/>
      <c r="G32" s="53"/>
      <c r="H32" s="53"/>
      <c r="I32" s="53"/>
      <c r="J32" s="53"/>
      <c r="K32" s="53"/>
      <c r="L32" s="12">
        <v>300</v>
      </c>
      <c r="M32" s="28" t="s">
        <v>36</v>
      </c>
      <c r="N32" s="13">
        <v>4.7</v>
      </c>
      <c r="O32" s="12" t="s">
        <v>36</v>
      </c>
      <c r="P32" s="14" t="str">
        <f>N32*L32</f>
        <v>0</v>
      </c>
    </row>
    <row r="33" spans="1:17" customHeight="1" ht="23" s="1" customFormat="1">
      <c r="B33" s="11">
        <v>44</v>
      </c>
      <c r="C33" s="12" t="s">
        <v>126</v>
      </c>
      <c r="D33" s="53" t="s">
        <v>82</v>
      </c>
      <c r="E33" s="53"/>
      <c r="F33" s="53"/>
      <c r="G33" s="53"/>
      <c r="H33" s="53"/>
      <c r="I33" s="53"/>
      <c r="J33" s="53"/>
      <c r="K33" s="53"/>
      <c r="L33" s="12">
        <v>100</v>
      </c>
      <c r="M33" s="28" t="s">
        <v>55</v>
      </c>
      <c r="N33" s="13">
        <v>3</v>
      </c>
      <c r="O33" s="12" t="s">
        <v>55</v>
      </c>
      <c r="P33" s="14" t="str">
        <f>N33*L33</f>
        <v>0</v>
      </c>
    </row>
    <row r="34" spans="1:17" customHeight="1" ht="23" s="1" customFormat="1">
      <c r="B34" s="11">
        <v>45</v>
      </c>
      <c r="C34" s="12" t="s">
        <v>126</v>
      </c>
      <c r="D34" s="53" t="s">
        <v>83</v>
      </c>
      <c r="E34" s="53"/>
      <c r="F34" s="53"/>
      <c r="G34" s="53"/>
      <c r="H34" s="53"/>
      <c r="I34" s="53"/>
      <c r="J34" s="53"/>
      <c r="K34" s="53"/>
      <c r="L34" s="12">
        <v>100</v>
      </c>
      <c r="M34" s="28" t="s">
        <v>55</v>
      </c>
      <c r="N34" s="13">
        <v>2</v>
      </c>
      <c r="O34" s="12" t="s">
        <v>55</v>
      </c>
      <c r="P34" s="14" t="str">
        <f>N34*L34</f>
        <v>0</v>
      </c>
    </row>
    <row r="35" spans="1:17" customHeight="1" ht="23" s="1" customFormat="1">
      <c r="B35" s="11">
        <v>46</v>
      </c>
      <c r="C35" s="12" t="s">
        <v>126</v>
      </c>
      <c r="D35" s="53" t="s">
        <v>84</v>
      </c>
      <c r="E35" s="53"/>
      <c r="F35" s="53"/>
      <c r="G35" s="53"/>
      <c r="H35" s="53"/>
      <c r="I35" s="53"/>
      <c r="J35" s="53"/>
      <c r="K35" s="53"/>
      <c r="L35" s="12">
        <v>100</v>
      </c>
      <c r="M35" s="28" t="s">
        <v>55</v>
      </c>
      <c r="N35" s="13">
        <v>1.5</v>
      </c>
      <c r="O35" s="12" t="s">
        <v>55</v>
      </c>
      <c r="P35" s="14" t="str">
        <f>N35*L35</f>
        <v>0</v>
      </c>
    </row>
    <row r="36" spans="1:17" customHeight="1" ht="23" s="1" customFormat="1">
      <c r="B36" s="11">
        <v>47</v>
      </c>
      <c r="C36" s="12" t="s">
        <v>126</v>
      </c>
      <c r="D36" s="53" t="s">
        <v>85</v>
      </c>
      <c r="E36" s="53"/>
      <c r="F36" s="53"/>
      <c r="G36" s="53"/>
      <c r="H36" s="53"/>
      <c r="I36" s="53"/>
      <c r="J36" s="53"/>
      <c r="K36" s="53"/>
      <c r="L36" s="12">
        <v>30</v>
      </c>
      <c r="M36" s="28" t="s">
        <v>55</v>
      </c>
      <c r="N36" s="13">
        <v>14.5</v>
      </c>
      <c r="O36" s="12" t="s">
        <v>55</v>
      </c>
      <c r="P36" s="14" t="str">
        <f>N36*L36</f>
        <v>0</v>
      </c>
    </row>
    <row r="37" spans="1:17" customHeight="1" ht="23" s="1" customFormat="1">
      <c r="B37" s="11">
        <v>48</v>
      </c>
      <c r="C37" s="12" t="s">
        <v>126</v>
      </c>
      <c r="D37" s="53" t="s">
        <v>86</v>
      </c>
      <c r="E37" s="53"/>
      <c r="F37" s="53"/>
      <c r="G37" s="53"/>
      <c r="H37" s="53"/>
      <c r="I37" s="53"/>
      <c r="J37" s="53"/>
      <c r="K37" s="53"/>
      <c r="L37" s="12">
        <v>510</v>
      </c>
      <c r="M37" s="28" t="s">
        <v>36</v>
      </c>
      <c r="N37" s="13">
        <v>2.25</v>
      </c>
      <c r="O37" s="12" t="s">
        <v>36</v>
      </c>
      <c r="P37" s="14" t="str">
        <f>N37*L37</f>
        <v>0</v>
      </c>
    </row>
    <row r="38" spans="1:17" customHeight="1" ht="23" s="1" customFormat="1">
      <c r="B38" s="11">
        <v>49</v>
      </c>
      <c r="C38" s="12" t="s">
        <v>126</v>
      </c>
      <c r="D38" s="53" t="s">
        <v>87</v>
      </c>
      <c r="E38" s="53"/>
      <c r="F38" s="53"/>
      <c r="G38" s="53"/>
      <c r="H38" s="53"/>
      <c r="I38" s="53"/>
      <c r="J38" s="53"/>
      <c r="K38" s="53"/>
      <c r="L38" s="12">
        <v>200</v>
      </c>
      <c r="M38" s="28" t="s">
        <v>36</v>
      </c>
      <c r="N38" s="13">
        <v>14.02</v>
      </c>
      <c r="O38" s="12" t="s">
        <v>36</v>
      </c>
      <c r="P38" s="14" t="str">
        <f>N38*L38</f>
        <v>0</v>
      </c>
    </row>
    <row r="39" spans="1:17" customHeight="1" ht="23" s="1" customFormat="1">
      <c r="B39" s="11">
        <v>50</v>
      </c>
      <c r="C39" s="12" t="s">
        <v>126</v>
      </c>
      <c r="D39" s="53" t="s">
        <v>88</v>
      </c>
      <c r="E39" s="53"/>
      <c r="F39" s="53"/>
      <c r="G39" s="53"/>
      <c r="H39" s="53"/>
      <c r="I39" s="53"/>
      <c r="J39" s="53"/>
      <c r="K39" s="53"/>
      <c r="L39" s="12">
        <v>150</v>
      </c>
      <c r="M39" s="28" t="s">
        <v>36</v>
      </c>
      <c r="N39" s="13">
        <v>5.01</v>
      </c>
      <c r="O39" s="12" t="s">
        <v>36</v>
      </c>
      <c r="P39" s="14" t="str">
        <f>N39*L39</f>
        <v>0</v>
      </c>
    </row>
    <row r="40" spans="1:17" customHeight="1" ht="23" s="1" customFormat="1">
      <c r="B40" s="11">
        <v>51</v>
      </c>
      <c r="C40" s="12" t="s">
        <v>126</v>
      </c>
      <c r="D40" s="53" t="s">
        <v>91</v>
      </c>
      <c r="E40" s="53"/>
      <c r="F40" s="53"/>
      <c r="G40" s="53"/>
      <c r="H40" s="53"/>
      <c r="I40" s="53"/>
      <c r="J40" s="53"/>
      <c r="K40" s="53"/>
      <c r="L40" s="12">
        <v>400</v>
      </c>
      <c r="M40" s="28" t="s">
        <v>36</v>
      </c>
      <c r="N40" s="13">
        <v>0.46</v>
      </c>
      <c r="O40" s="12" t="s">
        <v>36</v>
      </c>
      <c r="P40" s="14" t="str">
        <f>N40*L40</f>
        <v>0</v>
      </c>
    </row>
    <row r="41" spans="1:17" customHeight="1" ht="23" s="1" customFormat="1">
      <c r="B41" s="11">
        <v>52</v>
      </c>
      <c r="C41" s="12" t="s">
        <v>126</v>
      </c>
      <c r="D41" s="53" t="s">
        <v>92</v>
      </c>
      <c r="E41" s="53"/>
      <c r="F41" s="53"/>
      <c r="G41" s="53"/>
      <c r="H41" s="53"/>
      <c r="I41" s="53"/>
      <c r="J41" s="53"/>
      <c r="K41" s="53"/>
      <c r="L41" s="12">
        <v>50</v>
      </c>
      <c r="M41" s="28" t="s">
        <v>36</v>
      </c>
      <c r="N41" s="13">
        <v>5.9</v>
      </c>
      <c r="O41" s="12" t="s">
        <v>36</v>
      </c>
      <c r="P41" s="14" t="str">
        <f>N41*L41</f>
        <v>0</v>
      </c>
    </row>
    <row r="42" spans="1:17" customHeight="1" ht="23" s="1" customFormat="1">
      <c r="B42" s="11">
        <v>53</v>
      </c>
      <c r="C42" s="12" t="s">
        <v>126</v>
      </c>
      <c r="D42" s="53" t="s">
        <v>93</v>
      </c>
      <c r="E42" s="53"/>
      <c r="F42" s="53"/>
      <c r="G42" s="53"/>
      <c r="H42" s="53"/>
      <c r="I42" s="53"/>
      <c r="J42" s="53"/>
      <c r="K42" s="53"/>
      <c r="L42" s="12">
        <v>10</v>
      </c>
      <c r="M42" s="28" t="s">
        <v>36</v>
      </c>
      <c r="N42" s="13">
        <v>40</v>
      </c>
      <c r="O42" s="12" t="s">
        <v>36</v>
      </c>
      <c r="P42" s="14" t="str">
        <f>N42*L42</f>
        <v>0</v>
      </c>
    </row>
    <row r="43" spans="1:17" customHeight="1" ht="23" s="1" customFormat="1">
      <c r="B43" s="11">
        <v>54</v>
      </c>
      <c r="C43" s="12" t="s">
        <v>126</v>
      </c>
      <c r="D43" s="53" t="s">
        <v>94</v>
      </c>
      <c r="E43" s="53"/>
      <c r="F43" s="53"/>
      <c r="G43" s="53"/>
      <c r="H43" s="53"/>
      <c r="I43" s="53"/>
      <c r="J43" s="53"/>
      <c r="K43" s="53"/>
      <c r="L43" s="12">
        <v>1000</v>
      </c>
      <c r="M43" s="28" t="s">
        <v>36</v>
      </c>
      <c r="N43" s="13">
        <v>0.5</v>
      </c>
      <c r="O43" s="12" t="s">
        <v>36</v>
      </c>
      <c r="P43" s="14" t="str">
        <f>N43*L43</f>
        <v>0</v>
      </c>
    </row>
    <row r="44" spans="1:17" customHeight="1" ht="23" s="1" customFormat="1">
      <c r="B44" s="11">
        <v>55</v>
      </c>
      <c r="C44" s="12" t="s">
        <v>126</v>
      </c>
      <c r="D44" s="53" t="s">
        <v>95</v>
      </c>
      <c r="E44" s="53"/>
      <c r="F44" s="53"/>
      <c r="G44" s="53"/>
      <c r="H44" s="53"/>
      <c r="I44" s="53"/>
      <c r="J44" s="53"/>
      <c r="K44" s="53"/>
      <c r="L44" s="12">
        <v>2000</v>
      </c>
      <c r="M44" s="28" t="s">
        <v>36</v>
      </c>
      <c r="N44" s="13">
        <v>0.6</v>
      </c>
      <c r="O44" s="12" t="s">
        <v>36</v>
      </c>
      <c r="P44" s="14" t="str">
        <f>N44*L44</f>
        <v>0</v>
      </c>
    </row>
    <row r="45" spans="1:17" customHeight="1" ht="23" s="1" customFormat="1">
      <c r="B45" s="11">
        <v>56</v>
      </c>
      <c r="C45" s="12" t="s">
        <v>126</v>
      </c>
      <c r="D45" s="53" t="s">
        <v>96</v>
      </c>
      <c r="E45" s="53"/>
      <c r="F45" s="53"/>
      <c r="G45" s="53"/>
      <c r="H45" s="53"/>
      <c r="I45" s="53"/>
      <c r="J45" s="53"/>
      <c r="K45" s="53"/>
      <c r="L45" s="12">
        <v>500</v>
      </c>
      <c r="M45" s="28" t="s">
        <v>36</v>
      </c>
      <c r="N45" s="13">
        <v>0.3</v>
      </c>
      <c r="O45" s="12" t="s">
        <v>36</v>
      </c>
      <c r="P45" s="14" t="str">
        <f>N45*L45</f>
        <v>0</v>
      </c>
    </row>
    <row r="46" spans="1:17" customHeight="1" ht="23" s="1" customFormat="1">
      <c r="B46" s="11">
        <v>57</v>
      </c>
      <c r="C46" s="12" t="s">
        <v>126</v>
      </c>
      <c r="D46" s="53" t="s">
        <v>97</v>
      </c>
      <c r="E46" s="53"/>
      <c r="F46" s="53"/>
      <c r="G46" s="53"/>
      <c r="H46" s="53"/>
      <c r="I46" s="53"/>
      <c r="J46" s="53"/>
      <c r="K46" s="53"/>
      <c r="L46" s="12">
        <v>500</v>
      </c>
      <c r="M46" s="28" t="s">
        <v>36</v>
      </c>
      <c r="N46" s="13">
        <v>7.2</v>
      </c>
      <c r="O46" s="12" t="s">
        <v>36</v>
      </c>
      <c r="P46" s="14" t="str">
        <f>N46*L46</f>
        <v>0</v>
      </c>
    </row>
    <row r="47" spans="1:17" customHeight="1" ht="23" s="1" customFormat="1">
      <c r="B47" s="11">
        <v>58</v>
      </c>
      <c r="C47" s="12" t="s">
        <v>126</v>
      </c>
      <c r="D47" s="53" t="s">
        <v>98</v>
      </c>
      <c r="E47" s="53"/>
      <c r="F47" s="53"/>
      <c r="G47" s="53"/>
      <c r="H47" s="53"/>
      <c r="I47" s="53"/>
      <c r="J47" s="53"/>
      <c r="K47" s="53"/>
      <c r="L47" s="12">
        <v>500</v>
      </c>
      <c r="M47" s="28" t="s">
        <v>36</v>
      </c>
      <c r="N47" s="13">
        <v>10</v>
      </c>
      <c r="O47" s="12" t="s">
        <v>36</v>
      </c>
      <c r="P47" s="14" t="str">
        <f>N47*L47</f>
        <v>0</v>
      </c>
    </row>
    <row r="48" spans="1:17" customHeight="1" ht="23" s="1" customFormat="1">
      <c r="B48" s="11">
        <v>59</v>
      </c>
      <c r="C48" s="12" t="s">
        <v>126</v>
      </c>
      <c r="D48" s="53" t="s">
        <v>99</v>
      </c>
      <c r="E48" s="53"/>
      <c r="F48" s="53"/>
      <c r="G48" s="53"/>
      <c r="H48" s="53"/>
      <c r="I48" s="53"/>
      <c r="J48" s="53"/>
      <c r="K48" s="53"/>
      <c r="L48" s="12">
        <v>20</v>
      </c>
      <c r="M48" s="28" t="s">
        <v>36</v>
      </c>
      <c r="N48" s="13">
        <v>31.21</v>
      </c>
      <c r="O48" s="12" t="s">
        <v>36</v>
      </c>
      <c r="P48" s="14" t="str">
        <f>N48*L48</f>
        <v>0</v>
      </c>
    </row>
    <row r="49" spans="1:17" customHeight="1" ht="23" s="1" customFormat="1">
      <c r="B49" s="11">
        <v>60</v>
      </c>
      <c r="C49" s="12" t="s">
        <v>126</v>
      </c>
      <c r="D49" s="53" t="s">
        <v>100</v>
      </c>
      <c r="E49" s="53"/>
      <c r="F49" s="53"/>
      <c r="G49" s="53"/>
      <c r="H49" s="53"/>
      <c r="I49" s="53"/>
      <c r="J49" s="53"/>
      <c r="K49" s="53"/>
      <c r="L49" s="12">
        <v>21</v>
      </c>
      <c r="M49" s="28" t="s">
        <v>36</v>
      </c>
      <c r="N49" s="13">
        <v>43.8</v>
      </c>
      <c r="O49" s="12" t="s">
        <v>36</v>
      </c>
      <c r="P49" s="14" t="str">
        <f>N49*L49</f>
        <v>0</v>
      </c>
    </row>
    <row r="50" spans="1:17" customHeight="1" ht="23" s="1" customFormat="1">
      <c r="B50" s="11">
        <v>61</v>
      </c>
      <c r="C50" s="12" t="s">
        <v>126</v>
      </c>
      <c r="D50" s="53" t="s">
        <v>101</v>
      </c>
      <c r="E50" s="53"/>
      <c r="F50" s="53"/>
      <c r="G50" s="53"/>
      <c r="H50" s="53"/>
      <c r="I50" s="53"/>
      <c r="J50" s="53"/>
      <c r="K50" s="53"/>
      <c r="L50" s="12">
        <v>1000</v>
      </c>
      <c r="M50" s="28" t="s">
        <v>36</v>
      </c>
      <c r="N50" s="13">
        <v>8</v>
      </c>
      <c r="O50" s="12" t="s">
        <v>36</v>
      </c>
      <c r="P50" s="14" t="str">
        <f>N50*L50</f>
        <v>0</v>
      </c>
    </row>
    <row r="51" spans="1:17" customHeight="1" ht="23" s="1" customFormat="1">
      <c r="B51" s="11">
        <v>62</v>
      </c>
      <c r="C51" s="12" t="s">
        <v>126</v>
      </c>
      <c r="D51" s="53" t="s">
        <v>102</v>
      </c>
      <c r="E51" s="53"/>
      <c r="F51" s="53"/>
      <c r="G51" s="53"/>
      <c r="H51" s="53"/>
      <c r="I51" s="53"/>
      <c r="J51" s="53"/>
      <c r="K51" s="53"/>
      <c r="L51" s="12">
        <v>1000</v>
      </c>
      <c r="M51" s="28" t="s">
        <v>36</v>
      </c>
      <c r="N51" s="13">
        <v>1.2</v>
      </c>
      <c r="O51" s="12" t="s">
        <v>36</v>
      </c>
      <c r="P51" s="14" t="str">
        <f>N51*L51</f>
        <v>0</v>
      </c>
    </row>
    <row r="52" spans="1:17" customHeight="1" ht="23" s="1" customFormat="1">
      <c r="B52" s="11">
        <v>63</v>
      </c>
      <c r="C52" s="12" t="s">
        <v>126</v>
      </c>
      <c r="D52" s="53" t="s">
        <v>103</v>
      </c>
      <c r="E52" s="53"/>
      <c r="F52" s="53"/>
      <c r="G52" s="53"/>
      <c r="H52" s="53"/>
      <c r="I52" s="53"/>
      <c r="J52" s="53"/>
      <c r="K52" s="53"/>
      <c r="L52" s="12">
        <v>450</v>
      </c>
      <c r="M52" s="28" t="s">
        <v>36</v>
      </c>
      <c r="N52" s="13">
        <v>3.7555555555556</v>
      </c>
      <c r="O52" s="12" t="s">
        <v>36</v>
      </c>
      <c r="P52" s="14" t="str">
        <f>N52*L52</f>
        <v>0</v>
      </c>
    </row>
    <row r="53" spans="1:17" customHeight="1" ht="23" s="1" customFormat="1">
      <c r="B53" s="11">
        <v>64</v>
      </c>
      <c r="C53" s="12" t="s">
        <v>126</v>
      </c>
      <c r="D53" s="53" t="s">
        <v>104</v>
      </c>
      <c r="E53" s="53"/>
      <c r="F53" s="53"/>
      <c r="G53" s="53"/>
      <c r="H53" s="53"/>
      <c r="I53" s="53"/>
      <c r="J53" s="53"/>
      <c r="K53" s="53"/>
      <c r="L53" s="12">
        <v>50</v>
      </c>
      <c r="M53" s="28" t="s">
        <v>36</v>
      </c>
      <c r="N53" s="13">
        <v>1.8</v>
      </c>
      <c r="O53" s="12" t="s">
        <v>36</v>
      </c>
      <c r="P53" s="14" t="str">
        <f>N53*L53</f>
        <v>0</v>
      </c>
    </row>
    <row r="54" spans="1:17" customHeight="1" ht="23" s="1" customFormat="1">
      <c r="B54" s="11">
        <v>65</v>
      </c>
      <c r="C54" s="12" t="s">
        <v>126</v>
      </c>
      <c r="D54" s="53" t="s">
        <v>105</v>
      </c>
      <c r="E54" s="53"/>
      <c r="F54" s="53"/>
      <c r="G54" s="53"/>
      <c r="H54" s="53"/>
      <c r="I54" s="53"/>
      <c r="J54" s="53"/>
      <c r="K54" s="53"/>
      <c r="L54" s="12">
        <v>100</v>
      </c>
      <c r="M54" s="28" t="s">
        <v>36</v>
      </c>
      <c r="N54" s="13">
        <v>1.5</v>
      </c>
      <c r="O54" s="12" t="s">
        <v>36</v>
      </c>
      <c r="P54" s="14" t="str">
        <f>N54*L54</f>
        <v>0</v>
      </c>
    </row>
    <row r="55" spans="1:17" customHeight="1" ht="23" s="1" customFormat="1">
      <c r="B55" s="11">
        <v>66</v>
      </c>
      <c r="C55" s="12" t="s">
        <v>126</v>
      </c>
      <c r="D55" s="53" t="s">
        <v>106</v>
      </c>
      <c r="E55" s="53"/>
      <c r="F55" s="53"/>
      <c r="G55" s="53"/>
      <c r="H55" s="53"/>
      <c r="I55" s="53"/>
      <c r="J55" s="53"/>
      <c r="K55" s="53"/>
      <c r="L55" s="12">
        <v>20</v>
      </c>
      <c r="M55" s="28" t="s">
        <v>36</v>
      </c>
      <c r="N55" s="13">
        <v>3.5</v>
      </c>
      <c r="O55" s="12" t="s">
        <v>36</v>
      </c>
      <c r="P55" s="14" t="str">
        <f>N55*L55</f>
        <v>0</v>
      </c>
    </row>
    <row r="56" spans="1:17" customHeight="1" ht="23" s="1" customFormat="1">
      <c r="B56" s="11">
        <v>67</v>
      </c>
      <c r="C56" s="12" t="s">
        <v>126</v>
      </c>
      <c r="D56" s="53" t="s">
        <v>107</v>
      </c>
      <c r="E56" s="53"/>
      <c r="F56" s="53"/>
      <c r="G56" s="53"/>
      <c r="H56" s="53"/>
      <c r="I56" s="53"/>
      <c r="J56" s="53"/>
      <c r="K56" s="53"/>
      <c r="L56" s="12">
        <v>30</v>
      </c>
      <c r="M56" s="28" t="s">
        <v>36</v>
      </c>
      <c r="N56" s="13">
        <v>13.6</v>
      </c>
      <c r="O56" s="12" t="s">
        <v>36</v>
      </c>
      <c r="P56" s="14" t="str">
        <f>N56*L56</f>
        <v>0</v>
      </c>
    </row>
    <row r="57" spans="1:17" customHeight="1" ht="23" s="1" customFormat="1">
      <c r="B57" s="11">
        <v>68</v>
      </c>
      <c r="C57" s="12" t="s">
        <v>126</v>
      </c>
      <c r="D57" s="53" t="s">
        <v>108</v>
      </c>
      <c r="E57" s="53"/>
      <c r="F57" s="53"/>
      <c r="G57" s="53"/>
      <c r="H57" s="53"/>
      <c r="I57" s="53"/>
      <c r="J57" s="53"/>
      <c r="K57" s="53"/>
      <c r="L57" s="12">
        <v>50</v>
      </c>
      <c r="M57" s="28" t="s">
        <v>36</v>
      </c>
      <c r="N57" s="13">
        <v>3</v>
      </c>
      <c r="O57" s="12" t="s">
        <v>36</v>
      </c>
      <c r="P57" s="14" t="str">
        <f>N57*L57</f>
        <v>0</v>
      </c>
    </row>
    <row r="58" spans="1:17" customHeight="1" ht="23" s="1" customFormat="1">
      <c r="B58" s="11">
        <v>69</v>
      </c>
      <c r="C58" s="12" t="s">
        <v>126</v>
      </c>
      <c r="D58" s="53" t="s">
        <v>109</v>
      </c>
      <c r="E58" s="53"/>
      <c r="F58" s="53"/>
      <c r="G58" s="53"/>
      <c r="H58" s="53"/>
      <c r="I58" s="53"/>
      <c r="J58" s="53"/>
      <c r="K58" s="53"/>
      <c r="L58" s="12">
        <v>100</v>
      </c>
      <c r="M58" s="28" t="s">
        <v>36</v>
      </c>
      <c r="N58" s="13">
        <v>0.4</v>
      </c>
      <c r="O58" s="12" t="s">
        <v>36</v>
      </c>
      <c r="P58" s="14" t="str">
        <f>N58*L58</f>
        <v>0</v>
      </c>
    </row>
    <row r="59" spans="1:17" customHeight="1" ht="23" s="1" customFormat="1">
      <c r="B59" s="11">
        <v>70</v>
      </c>
      <c r="C59" s="12" t="s">
        <v>126</v>
      </c>
      <c r="D59" s="53" t="s">
        <v>111</v>
      </c>
      <c r="E59" s="53"/>
      <c r="F59" s="53"/>
      <c r="G59" s="53"/>
      <c r="H59" s="53"/>
      <c r="I59" s="53"/>
      <c r="J59" s="53"/>
      <c r="K59" s="53"/>
      <c r="L59" s="12">
        <v>10</v>
      </c>
      <c r="M59" s="28" t="s">
        <v>36</v>
      </c>
      <c r="N59" s="13">
        <v>4</v>
      </c>
      <c r="O59" s="12" t="s">
        <v>36</v>
      </c>
      <c r="P59" s="14" t="str">
        <f>N59*L59</f>
        <v>0</v>
      </c>
    </row>
    <row r="60" spans="1:17" customHeight="1" ht="23" s="1" customFormat="1">
      <c r="B60" s="11">
        <v>71</v>
      </c>
      <c r="C60" s="12" t="s">
        <v>126</v>
      </c>
      <c r="D60" s="53" t="s">
        <v>112</v>
      </c>
      <c r="E60" s="53"/>
      <c r="F60" s="53"/>
      <c r="G60" s="53"/>
      <c r="H60" s="53"/>
      <c r="I60" s="53"/>
      <c r="J60" s="53"/>
      <c r="K60" s="53"/>
      <c r="L60" s="12">
        <v>5</v>
      </c>
      <c r="M60" s="28" t="s">
        <v>36</v>
      </c>
      <c r="N60" s="13">
        <v>5</v>
      </c>
      <c r="O60" s="12" t="s">
        <v>36</v>
      </c>
      <c r="P60" s="14" t="str">
        <f>N60*L60</f>
        <v>0</v>
      </c>
    </row>
    <row r="61" spans="1:17" customHeight="1" ht="23" s="1" customFormat="1">
      <c r="B61" s="11">
        <v>72</v>
      </c>
      <c r="C61" s="12" t="s">
        <v>126</v>
      </c>
      <c r="D61" s="53" t="s">
        <v>113</v>
      </c>
      <c r="E61" s="53"/>
      <c r="F61" s="53"/>
      <c r="G61" s="53"/>
      <c r="H61" s="53"/>
      <c r="I61" s="53"/>
      <c r="J61" s="53"/>
      <c r="K61" s="53"/>
      <c r="L61" s="12">
        <v>10</v>
      </c>
      <c r="M61" s="28" t="s">
        <v>36</v>
      </c>
      <c r="N61" s="13">
        <v>4.5</v>
      </c>
      <c r="O61" s="12" t="s">
        <v>36</v>
      </c>
      <c r="P61" s="14" t="str">
        <f>N61*L61</f>
        <v>0</v>
      </c>
    </row>
    <row r="62" spans="1:17" customHeight="1" ht="23" s="1" customFormat="1">
      <c r="B62" s="11">
        <v>73</v>
      </c>
      <c r="C62" s="12" t="s">
        <v>126</v>
      </c>
      <c r="D62" s="53" t="s">
        <v>114</v>
      </c>
      <c r="E62" s="53"/>
      <c r="F62" s="53"/>
      <c r="G62" s="53"/>
      <c r="H62" s="53"/>
      <c r="I62" s="53"/>
      <c r="J62" s="53"/>
      <c r="K62" s="53"/>
      <c r="L62" s="12">
        <v>12</v>
      </c>
      <c r="M62" s="28" t="s">
        <v>36</v>
      </c>
      <c r="N62" s="13">
        <v>1</v>
      </c>
      <c r="O62" s="12" t="s">
        <v>36</v>
      </c>
      <c r="P62" s="14" t="str">
        <f>N62*L62</f>
        <v>0</v>
      </c>
    </row>
    <row r="63" spans="1:17" customHeight="1" ht="23" s="1" customFormat="1">
      <c r="B63" s="11">
        <v>74</v>
      </c>
      <c r="C63" s="12" t="s">
        <v>126</v>
      </c>
      <c r="D63" s="53" t="s">
        <v>115</v>
      </c>
      <c r="E63" s="53"/>
      <c r="F63" s="53"/>
      <c r="G63" s="53"/>
      <c r="H63" s="53"/>
      <c r="I63" s="53"/>
      <c r="J63" s="53"/>
      <c r="K63" s="53"/>
      <c r="L63" s="12">
        <v>20</v>
      </c>
      <c r="M63" s="28" t="s">
        <v>36</v>
      </c>
      <c r="N63" s="13">
        <v>3.5</v>
      </c>
      <c r="O63" s="12" t="s">
        <v>36</v>
      </c>
      <c r="P63" s="14" t="str">
        <f>N63*L63</f>
        <v>0</v>
      </c>
    </row>
    <row r="64" spans="1:17" customHeight="1" ht="23" s="1" customFormat="1">
      <c r="B64" s="11">
        <v>75</v>
      </c>
      <c r="C64" s="12" t="s">
        <v>126</v>
      </c>
      <c r="D64" s="53" t="s">
        <v>116</v>
      </c>
      <c r="E64" s="53"/>
      <c r="F64" s="53"/>
      <c r="G64" s="53"/>
      <c r="H64" s="53"/>
      <c r="I64" s="53"/>
      <c r="J64" s="53"/>
      <c r="K64" s="53"/>
      <c r="L64" s="12">
        <v>13</v>
      </c>
      <c r="M64" s="28" t="s">
        <v>36</v>
      </c>
      <c r="N64" s="13">
        <v>19.076923076923</v>
      </c>
      <c r="O64" s="12" t="s">
        <v>36</v>
      </c>
      <c r="P64" s="14" t="str">
        <f>N64*L64</f>
        <v>0</v>
      </c>
    </row>
    <row r="65" spans="1:17" customHeight="1" ht="23" s="1" customFormat="1">
      <c r="B65" s="11">
        <v>76</v>
      </c>
      <c r="C65" s="12" t="s">
        <v>126</v>
      </c>
      <c r="D65" s="53" t="s">
        <v>117</v>
      </c>
      <c r="E65" s="53"/>
      <c r="F65" s="53"/>
      <c r="G65" s="53"/>
      <c r="H65" s="53"/>
      <c r="I65" s="53"/>
      <c r="J65" s="53"/>
      <c r="K65" s="53"/>
      <c r="L65" s="12">
        <v>120</v>
      </c>
      <c r="M65" s="28" t="s">
        <v>36</v>
      </c>
      <c r="N65" s="13">
        <v>3.4</v>
      </c>
      <c r="O65" s="12" t="s">
        <v>36</v>
      </c>
      <c r="P65" s="14" t="str">
        <f>N65*L65</f>
        <v>0</v>
      </c>
    </row>
    <row r="66" spans="1:17" customHeight="1" ht="23" s="1" customFormat="1">
      <c r="B66" s="11">
        <v>77</v>
      </c>
      <c r="C66" s="12" t="s">
        <v>126</v>
      </c>
      <c r="D66" s="53" t="s">
        <v>118</v>
      </c>
      <c r="E66" s="53"/>
      <c r="F66" s="53"/>
      <c r="G66" s="53"/>
      <c r="H66" s="53"/>
      <c r="I66" s="53"/>
      <c r="J66" s="53"/>
      <c r="K66" s="53"/>
      <c r="L66" s="12">
        <v>5</v>
      </c>
      <c r="M66" s="28" t="s">
        <v>36</v>
      </c>
      <c r="N66" s="13">
        <v>12.8</v>
      </c>
      <c r="O66" s="12" t="s">
        <v>36</v>
      </c>
      <c r="P66" s="14" t="str">
        <f>N66*L66</f>
        <v>0</v>
      </c>
    </row>
    <row r="67" spans="1:17" customHeight="1" ht="23" s="1" customFormat="1">
      <c r="B67" s="11">
        <v>78</v>
      </c>
      <c r="C67" s="12" t="s">
        <v>126</v>
      </c>
      <c r="D67" s="53" t="s">
        <v>119</v>
      </c>
      <c r="E67" s="53"/>
      <c r="F67" s="53"/>
      <c r="G67" s="53"/>
      <c r="H67" s="53"/>
      <c r="I67" s="53"/>
      <c r="J67" s="53"/>
      <c r="K67" s="53"/>
      <c r="L67" s="12">
        <v>150</v>
      </c>
      <c r="M67" s="28" t="s">
        <v>36</v>
      </c>
      <c r="N67" s="13">
        <v>6.51</v>
      </c>
      <c r="O67" s="12" t="s">
        <v>36</v>
      </c>
      <c r="P67" s="14" t="str">
        <f>N67*L67</f>
        <v>0</v>
      </c>
    </row>
    <row r="68" spans="1:17" customHeight="1" ht="21" s="1" customFormat="1">
      <c r="B68" s="43" t="s">
        <v>120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5"/>
      <c r="P68" s="15" t="str">
        <f>SUM(P26:P67)</f>
        <v>0</v>
      </c>
    </row>
    <row r="69" spans="1:17" s="1" customFormat="1"/>
    <row r="70" spans="1:17" customHeight="1" ht="18" s="20" customFormat="1">
      <c r="B70" s="16" t="s">
        <v>121</v>
      </c>
      <c r="C70" s="16"/>
      <c r="D70" s="16"/>
      <c r="E70" s="16"/>
      <c r="F70" s="17"/>
      <c r="G70" s="17"/>
      <c r="H70" s="18"/>
      <c r="I70" s="19"/>
      <c r="Q70" s="1"/>
    </row>
    <row r="71" spans="1:17" customHeight="1" ht="18" s="20" customFormat="1">
      <c r="B71" s="21" t="s">
        <v>122</v>
      </c>
      <c r="C71" s="16"/>
      <c r="D71" s="16"/>
      <c r="E71" s="16"/>
      <c r="F71" s="17"/>
      <c r="G71" s="22"/>
      <c r="H71" s="16"/>
      <c r="I71" s="16"/>
      <c r="Q71" s="1"/>
    </row>
    <row r="72" spans="1:17" customHeight="1" ht="18" s="20" customFormat="1">
      <c r="B72" s="16"/>
      <c r="C72" s="16"/>
      <c r="D72" s="16"/>
      <c r="E72" s="16"/>
      <c r="F72" s="17"/>
      <c r="G72" s="22"/>
      <c r="H72" s="16"/>
      <c r="I72" s="16"/>
      <c r="L72" s="20"/>
      <c r="Q72" s="1"/>
    </row>
    <row r="73" spans="1:17" customHeight="1" ht="18" s="1" customFormat="1">
      <c r="B73" s="16" t="s">
        <v>123</v>
      </c>
      <c r="C73" s="16"/>
      <c r="D73" s="16"/>
      <c r="E73" s="18"/>
      <c r="F73" s="24"/>
      <c r="G73" s="25"/>
      <c r="H73" s="16"/>
      <c r="I73" s="16"/>
      <c r="J73" s="20"/>
      <c r="K73" s="20"/>
      <c r="L73" s="20"/>
      <c r="M73" s="20"/>
      <c r="N73" s="20"/>
      <c r="O73" s="20"/>
      <c r="P73" s="20"/>
    </row>
    <row r="74" spans="1:17" customHeight="1" ht="18" s="1" customFormat="1">
      <c r="B74" s="29" t="s">
        <v>124</v>
      </c>
      <c r="C74" s="30" t="s">
        <v>127</v>
      </c>
      <c r="D74" s="30"/>
      <c r="E74" s="30"/>
      <c r="F74" s="31"/>
      <c r="G74" s="22"/>
      <c r="H74" s="16"/>
      <c r="I74" s="16"/>
      <c r="J74" s="20"/>
      <c r="K74" s="20"/>
      <c r="L74" s="20"/>
      <c r="M74" s="20"/>
      <c r="N74" s="20"/>
      <c r="O74" s="20"/>
      <c r="P74" s="20"/>
    </row>
    <row r="75" spans="1:17" customHeight="1" ht="18" s="1" customFormat="1">
      <c r="B75" s="18"/>
      <c r="C75" s="30" t="s">
        <v>128</v>
      </c>
      <c r="D75" s="30"/>
      <c r="E75" s="30"/>
      <c r="F75" s="31"/>
      <c r="G75" s="22"/>
      <c r="H75" s="16"/>
      <c r="I75" s="16"/>
      <c r="J75" s="20"/>
      <c r="K75" s="20"/>
      <c r="L75" s="20"/>
      <c r="M75" s="20"/>
      <c r="N75" s="20"/>
      <c r="O75" s="20"/>
      <c r="P75" s="20"/>
    </row>
    <row r="76" spans="1:17" customHeight="1" ht="18" s="1" customFormat="1">
      <c r="B76" s="18"/>
      <c r="C76" s="16"/>
      <c r="D76" s="16"/>
      <c r="E76" s="16"/>
      <c r="F76" s="32"/>
      <c r="G76" s="22"/>
      <c r="H76" s="18"/>
      <c r="I76" s="18"/>
      <c r="J76" s="20"/>
      <c r="K76" s="20"/>
      <c r="L76" s="20"/>
      <c r="M76" s="20"/>
      <c r="N76" s="20"/>
      <c r="O76" s="20"/>
      <c r="P76" s="20"/>
    </row>
    <row r="77" spans="1:17" customHeight="1" ht="18" s="1" customFormat="1">
      <c r="B77" s="29" t="s">
        <v>124</v>
      </c>
      <c r="C77" s="30" t="s">
        <v>129</v>
      </c>
      <c r="D77" s="30"/>
      <c r="E77" s="30"/>
      <c r="F77" s="32"/>
      <c r="G77" s="22"/>
      <c r="H77" s="18"/>
      <c r="I77" s="18"/>
      <c r="J77" s="20"/>
      <c r="K77" s="20"/>
      <c r="L77" s="20"/>
      <c r="M77" s="20"/>
      <c r="N77" s="20"/>
      <c r="O77" s="20"/>
      <c r="P77" s="20"/>
    </row>
    <row r="78" spans="1:17" customHeight="1" ht="18" s="1" customFormat="1">
      <c r="B78" s="18"/>
      <c r="C78" s="30" t="s">
        <v>130</v>
      </c>
      <c r="D78" s="30"/>
      <c r="E78" s="30"/>
      <c r="F78" s="32"/>
      <c r="G78" s="22"/>
      <c r="H78" s="18"/>
      <c r="I78" s="18"/>
      <c r="J78" s="20"/>
      <c r="K78" s="20"/>
      <c r="L78" s="20"/>
      <c r="M78" s="20"/>
      <c r="N78" s="20"/>
      <c r="O78" s="20"/>
      <c r="P78" s="20"/>
    </row>
    <row r="79" spans="1:17" customHeight="1" ht="18" s="1" customFormat="1">
      <c r="B79" s="18"/>
      <c r="C79" s="30" t="s">
        <v>131</v>
      </c>
      <c r="D79" s="30"/>
      <c r="E79" s="30"/>
      <c r="F79" s="32"/>
      <c r="G79" s="22"/>
      <c r="H79" s="18"/>
      <c r="I79" s="18"/>
      <c r="J79" s="20"/>
      <c r="K79" s="20"/>
      <c r="L79" s="20"/>
      <c r="M79" s="20"/>
      <c r="N79" s="20"/>
      <c r="O79" s="20"/>
      <c r="P79" s="20"/>
    </row>
    <row r="80" spans="1:17" customHeight="1" ht="18" s="1" customFormat="1">
      <c r="B80" s="16"/>
      <c r="C80" s="30" t="s">
        <v>132</v>
      </c>
      <c r="D80" s="16"/>
      <c r="E80" s="16"/>
      <c r="F80" s="32"/>
      <c r="G80" s="22"/>
      <c r="H80" s="18"/>
      <c r="I80" s="18"/>
      <c r="J80" s="20"/>
      <c r="K80" s="20"/>
      <c r="L80" s="20"/>
      <c r="M80" s="20"/>
      <c r="N80" s="20"/>
      <c r="O80" s="20"/>
      <c r="P80" s="20"/>
    </row>
    <row r="81" spans="1:17" customHeight="1" ht="18" s="1" customFormat="1">
      <c r="B81" s="16"/>
      <c r="C81" s="30" t="s">
        <v>133</v>
      </c>
      <c r="D81" s="16"/>
      <c r="E81" s="16"/>
      <c r="F81" s="32"/>
      <c r="G81" s="22"/>
      <c r="H81" s="18"/>
      <c r="I81" s="18"/>
      <c r="J81" s="20"/>
      <c r="K81" s="20"/>
      <c r="L81" s="20"/>
      <c r="M81" s="20"/>
      <c r="N81" s="20"/>
      <c r="O81" s="20"/>
      <c r="P81" s="20"/>
    </row>
    <row r="82" spans="1:17" customHeight="1" ht="18" s="1" customFormat="1">
      <c r="B82" s="16"/>
      <c r="C82" s="16"/>
      <c r="D82" s="16"/>
      <c r="E82" s="16"/>
      <c r="F82" s="32"/>
      <c r="G82" s="22"/>
      <c r="H82" s="18"/>
      <c r="I82" s="18"/>
      <c r="J82" s="20"/>
      <c r="K82" s="20"/>
      <c r="L82" s="20"/>
      <c r="M82" s="20"/>
      <c r="N82" s="20"/>
      <c r="O82" s="20"/>
      <c r="P82" s="20"/>
    </row>
    <row r="83" spans="1:17" customHeight="1" ht="18" s="1" customFormat="1">
      <c r="B83" s="33" t="s">
        <v>124</v>
      </c>
      <c r="C83" s="16" t="s">
        <v>134</v>
      </c>
      <c r="D83" s="16"/>
      <c r="E83" s="16"/>
      <c r="F83" s="32"/>
      <c r="G83" s="22"/>
      <c r="H83" s="18"/>
      <c r="I83" s="18"/>
      <c r="J83" s="20"/>
      <c r="K83" s="20"/>
      <c r="L83" s="20"/>
      <c r="M83" s="20"/>
      <c r="N83" s="20"/>
      <c r="O83" s="20"/>
      <c r="P83" s="20"/>
    </row>
    <row r="84" spans="1:17" customHeight="1" ht="18" s="1" customFormat="1">
      <c r="B84" s="26"/>
      <c r="C84" s="30" t="s">
        <v>135</v>
      </c>
      <c r="D84" s="30"/>
      <c r="E84" s="34"/>
      <c r="F84" s="35"/>
      <c r="G84" s="27"/>
      <c r="H84" s="26"/>
      <c r="I84" s="18"/>
      <c r="J84" s="20"/>
      <c r="K84" s="20"/>
      <c r="L84" s="20"/>
      <c r="M84" s="20"/>
      <c r="N84" s="20"/>
      <c r="O84" s="20"/>
      <c r="P84" s="20"/>
    </row>
    <row r="85" spans="1:17" customHeight="1" ht="18" s="1" customFormat="1">
      <c r="B85" s="18"/>
      <c r="C85" s="16" t="s">
        <v>136</v>
      </c>
      <c r="D85" s="16"/>
      <c r="E85" s="36"/>
      <c r="F85" s="32"/>
      <c r="G85" s="22"/>
      <c r="H85" s="18"/>
      <c r="I85" s="26"/>
      <c r="J85" s="20"/>
      <c r="K85" s="20"/>
      <c r="L85" s="20"/>
      <c r="M85" s="20"/>
      <c r="N85" s="20"/>
      <c r="O85" s="20"/>
      <c r="P85" s="20"/>
    </row>
    <row r="86" spans="1:17" s="1" customFormat="1"/>
    <row r="87" spans="1:17" s="1" customFormat="1"/>
    <row r="88" spans="1:17" s="1" customFormat="1"/>
    <row r="89" spans="1:17" s="1" customFormat="1"/>
    <row r="90" spans="1:17" s="1" customFormat="1"/>
    <row r="91" spans="1:17" s="1" customFormat="1"/>
    <row r="92" spans="1:17" s="1" customFormat="1"/>
    <row r="93" spans="1:17" s="1" customFormat="1"/>
    <row r="94" spans="1:17" s="1" customFormat="1"/>
    <row r="95" spans="1:17" s="1" customFormat="1"/>
    <row r="96" spans="1:17" s="1" customFormat="1"/>
    <row r="97" spans="1:17" s="1" customFormat="1"/>
    <row r="98" spans="1:17" s="1" customFormat="1"/>
    <row r="99" spans="1:17" s="1" customFormat="1"/>
    <row r="100" spans="1:17" s="1" customFormat="1"/>
    <row r="101" spans="1:17" s="1" customFormat="1"/>
    <row r="102" spans="1:17" s="1" customFormat="1"/>
    <row r="103" spans="1:17" s="1" customFormat="1"/>
    <row r="104" spans="1:17" s="1" customFormat="1"/>
    <row r="105" spans="1:17" s="1" customFormat="1"/>
    <row r="106" spans="1:17" s="1" customFormat="1"/>
    <row r="107" spans="1:17" s="1" customFormat="1"/>
    <row r="108" spans="1:17" s="1" customFormat="1"/>
    <row r="109" spans="1:17" s="1" customFormat="1"/>
    <row r="110" spans="1:17" s="1" customFormat="1"/>
    <row r="111" spans="1:17" s="1" customFormat="1"/>
    <row r="112" spans="1:17" s="1" customFormat="1"/>
    <row r="113" spans="1:17" s="1" customFormat="1"/>
    <row r="114" spans="1:17" s="1" customFormat="1"/>
    <row r="115" spans="1:17" s="1" customFormat="1"/>
    <row r="116" spans="1:17" s="1" customFormat="1"/>
    <row r="117" spans="1:17" s="1" customFormat="1"/>
    <row r="118" spans="1:17" s="1" customFormat="1"/>
    <row r="119" spans="1:17" s="1" customFormat="1"/>
    <row r="120" spans="1:17" s="1" customFormat="1"/>
    <row r="121" spans="1:17" s="1" customFormat="1"/>
    <row r="122" spans="1:17" s="1" customFormat="1"/>
    <row r="123" spans="1:17" s="1" customFormat="1"/>
    <row r="124" spans="1:17" s="1" customFormat="1"/>
    <row r="125" spans="1:17" s="1" customFormat="1"/>
    <row r="126" spans="1:17" s="1" customFormat="1"/>
    <row r="127" spans="1:17" s="1" customFormat="1"/>
    <row r="128" spans="1:17" s="1" customFormat="1"/>
    <row r="129" spans="1:17" s="1" customFormat="1"/>
    <row r="130" spans="1:17" s="1" customFormat="1"/>
    <row r="131" spans="1:17" s="1" customFormat="1"/>
    <row r="132" spans="1:17" s="1" customFormat="1"/>
    <row r="133" spans="1:17" s="1" customFormat="1"/>
    <row r="134" spans="1:17" s="1" customFormat="1"/>
    <row r="135" spans="1:17" s="1" customFormat="1"/>
    <row r="136" spans="1:17" s="1" customFormat="1"/>
    <row r="137" spans="1:17" s="1" customFormat="1"/>
    <row r="138" spans="1:17" s="1" customFormat="1"/>
    <row r="139" spans="1:17" s="1" customFormat="1"/>
    <row r="140" spans="1:17" s="1" customFormat="1"/>
    <row r="141" spans="1:17" s="1" customFormat="1"/>
    <row r="142" spans="1:17" s="1" customFormat="1"/>
    <row r="143" spans="1:17" s="1" customFormat="1"/>
    <row r="144" spans="1:17" s="1" customFormat="1"/>
    <row r="145" spans="1:17" s="1" customFormat="1"/>
    <row r="146" spans="1:17" s="1" customFormat="1"/>
    <row r="147" spans="1:17" s="1" customFormat="1"/>
    <row r="148" spans="1:17" s="1" customFormat="1"/>
    <row r="149" spans="1:17" s="1" customFormat="1"/>
    <row r="150" spans="1:17" s="1" customFormat="1"/>
    <row r="151" spans="1:17" s="1" customFormat="1"/>
    <row r="152" spans="1:17" s="1" customFormat="1"/>
    <row r="153" spans="1:17" s="1" customFormat="1"/>
    <row r="154" spans="1:17" s="1" customFormat="1"/>
    <row r="155" spans="1:17" s="1" customFormat="1"/>
    <row r="156" spans="1:17" s="1" customFormat="1"/>
    <row r="157" spans="1:17" s="1" customFormat="1"/>
    <row r="158" spans="1:17" s="1" customFormat="1"/>
    <row r="159" spans="1:17" s="1" customFormat="1"/>
    <row r="160" spans="1:17" s="1" customFormat="1"/>
    <row r="161" spans="1:17" s="1" customFormat="1"/>
    <row r="162" spans="1:17" s="1" customFormat="1"/>
    <row r="163" spans="1:17" s="1" customFormat="1"/>
    <row r="164" spans="1:17" s="1" customFormat="1"/>
    <row r="165" spans="1:17" s="1" customFormat="1"/>
    <row r="166" spans="1:17" s="1" customFormat="1"/>
    <row r="167" spans="1:17" s="1" customFormat="1"/>
    <row r="168" spans="1:17" s="1" customFormat="1"/>
    <row r="169" spans="1:17" s="1" customFormat="1"/>
    <row r="170" spans="1:17" s="1" customFormat="1"/>
    <row r="171" spans="1:17" s="1" customFormat="1"/>
    <row r="172" spans="1:17" s="1" customFormat="1"/>
    <row r="173" spans="1:17" s="1" customFormat="1"/>
    <row r="174" spans="1:17" s="1" customFormat="1"/>
    <row r="175" spans="1:17" s="1" customFormat="1"/>
    <row r="176" spans="1:17" s="1" customFormat="1"/>
    <row r="177" spans="1:17" s="1" customFormat="1"/>
    <row r="178" spans="1:17" s="1" customFormat="1"/>
    <row r="179" spans="1:17" s="1" customFormat="1"/>
    <row r="180" spans="1:17" s="1" customFormat="1"/>
    <row r="181" spans="1:17" s="1" customFormat="1"/>
    <row r="182" spans="1:17" s="1" customFormat="1"/>
    <row r="183" spans="1:17" s="1" customFormat="1"/>
    <row r="184" spans="1:17" s="1" customFormat="1"/>
    <row r="185" spans="1:17" s="1" customFormat="1"/>
    <row r="186" spans="1:17" s="1" customFormat="1"/>
    <row r="187" spans="1:17" s="1" customFormat="1"/>
    <row r="188" spans="1:17" s="1" customFormat="1"/>
    <row r="189" spans="1:17" s="1" customFormat="1"/>
    <row r="190" spans="1:17" s="1" customFormat="1"/>
    <row r="191" spans="1:17" s="1" customFormat="1"/>
    <row r="192" spans="1:17" s="1" customFormat="1"/>
    <row r="193" spans="1:17" s="1" customFormat="1"/>
    <row r="194" spans="1:17" s="1" customFormat="1"/>
    <row r="195" spans="1:17" s="1" customFormat="1"/>
    <row r="196" spans="1:17" s="1" customFormat="1"/>
    <row r="197" spans="1:17" s="1" customFormat="1"/>
    <row r="198" spans="1:17" s="1" customFormat="1"/>
    <row r="199" spans="1:17" s="1" customFormat="1"/>
    <row r="200" spans="1:17" s="1" customFormat="1"/>
    <row r="201" spans="1:17" s="1" customFormat="1"/>
    <row r="202" spans="1:17" s="1" customFormat="1"/>
    <row r="203" spans="1:17" s="1" customFormat="1"/>
    <row r="204" spans="1:17" s="1" customFormat="1"/>
    <row r="205" spans="1:17" s="1" customFormat="1"/>
    <row r="206" spans="1:17" s="1" customFormat="1"/>
    <row r="207" spans="1:17" s="1" customFormat="1"/>
    <row r="208" spans="1:17" s="1" customFormat="1"/>
    <row r="209" spans="1:17" s="1" customFormat="1"/>
    <row r="210" spans="1:17" s="1" customFormat="1"/>
    <row r="211" spans="1:17" s="1" customFormat="1"/>
    <row r="212" spans="1:17" s="1" customFormat="1"/>
    <row r="213" spans="1:17" s="1" customFormat="1"/>
    <row r="214" spans="1:17" s="1" customFormat="1"/>
    <row r="215" spans="1:17" s="1" customFormat="1"/>
    <row r="216" spans="1:17" s="1" customFormat="1"/>
    <row r="217" spans="1:17" s="1" customFormat="1"/>
    <row r="218" spans="1:17" s="1" customFormat="1"/>
    <row r="219" spans="1:17" s="1" customFormat="1"/>
    <row r="220" spans="1:17" s="1" customFormat="1"/>
    <row r="221" spans="1:17" s="1" customFormat="1"/>
    <row r="222" spans="1:17" s="1" customFormat="1"/>
    <row r="223" spans="1:17" s="1" customFormat="1"/>
    <row r="224" spans="1:17" s="1" customFormat="1"/>
    <row r="225" spans="1:17" s="1" customFormat="1"/>
    <row r="226" spans="1:17" s="1" customFormat="1"/>
    <row r="227" spans="1:17" s="1" customFormat="1"/>
    <row r="228" spans="1:17" s="1" customFormat="1"/>
    <row r="229" spans="1:17" s="1" customFormat="1"/>
    <row r="230" spans="1:17" s="1" customFormat="1"/>
    <row r="231" spans="1:17" s="1" customFormat="1"/>
    <row r="232" spans="1:17" s="1" customFormat="1"/>
    <row r="233" spans="1:17" s="1" customFormat="1"/>
    <row r="234" spans="1:17" s="1" customFormat="1"/>
    <row r="235" spans="1:17" s="1" customFormat="1"/>
    <row r="236" spans="1:17" s="1" customFormat="1"/>
    <row r="237" spans="1:17" s="1" customFormat="1"/>
    <row r="238" spans="1:17" s="1" customFormat="1"/>
    <row r="239" spans="1:17" s="1" customFormat="1"/>
    <row r="240" spans="1:17" s="1" customFormat="1"/>
    <row r="241" spans="1:17" s="1" customFormat="1"/>
    <row r="242" spans="1:17" s="1" customFormat="1"/>
    <row r="243" spans="1:17" s="1" customFormat="1"/>
    <row r="244" spans="1:17" s="1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64:K64"/>
    <mergeCell ref="D65:K65"/>
    <mergeCell ref="D66:K66"/>
    <mergeCell ref="D67:K67"/>
    <mergeCell ref="D58:K58"/>
    <mergeCell ref="D59:K59"/>
    <mergeCell ref="D60:K60"/>
    <mergeCell ref="D61:K61"/>
    <mergeCell ref="D63:K63"/>
    <mergeCell ref="N25:O25"/>
    <mergeCell ref="D26:K26"/>
    <mergeCell ref="D28:K28"/>
    <mergeCell ref="D29:K29"/>
    <mergeCell ref="E5:M7"/>
    <mergeCell ref="H8:J8"/>
    <mergeCell ref="N13:O13"/>
    <mergeCell ref="N14:O14"/>
    <mergeCell ref="N15:O15"/>
    <mergeCell ref="D27:K27"/>
    <mergeCell ref="B68:O68"/>
    <mergeCell ref="D37:K37"/>
    <mergeCell ref="D38:K38"/>
    <mergeCell ref="D62:K62"/>
    <mergeCell ref="L25:M25"/>
    <mergeCell ref="D36:K36"/>
    <mergeCell ref="D33:K33"/>
    <mergeCell ref="D34:K34"/>
    <mergeCell ref="D25:K25"/>
    <mergeCell ref="D30:K30"/>
    <mergeCell ref="D31:K31"/>
    <mergeCell ref="D32:K32"/>
    <mergeCell ref="D35:K35"/>
    <mergeCell ref="D39:K39"/>
    <mergeCell ref="D40:K40"/>
    <mergeCell ref="D57:K57"/>
    <mergeCell ref="D54:K54"/>
    <mergeCell ref="D55:K55"/>
    <mergeCell ref="D56:K56"/>
    <mergeCell ref="D41:K41"/>
    <mergeCell ref="D42:K42"/>
    <mergeCell ref="D43:K43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</mergeCells>
  <hyperlinks>
    <hyperlink ref="F22" r:id="rId_hyperlink_1"/>
  </hyperlinks>
  <printOptions gridLines="false" gridLinesSet="true"/>
  <pageMargins left="0.7" right="0.7" top="0.75" bottom="0.75" header="0.3" footer="0.3"/>
  <pageSetup paperSize="9" orientation="portrait" scale="39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C1</vt:lpstr>
      <vt:lpstr>C2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Miguel Villegas Perez</cp:lastModifiedBy>
  <dcterms:created xsi:type="dcterms:W3CDTF">2022-08-23T18:01:15-05:00</dcterms:created>
  <dcterms:modified xsi:type="dcterms:W3CDTF">2025-02-05T16:21:11-05:00</dcterms:modified>
  <dc:title/>
  <dc:description/>
  <dc:subject/>
  <cp:keywords/>
  <cp:category/>
</cp:coreProperties>
</file>